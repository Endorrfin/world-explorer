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k/i-data/doc/🔐private/"/>
    </mc:Choice>
  </mc:AlternateContent>
  <xr:revisionPtr revIDLastSave="0" documentId="13_ncr:1_{FB2C4800-2582-0344-B9BD-BCCFBC48C4FC}" xr6:coauthVersionLast="47" xr6:coauthVersionMax="47" xr10:uidLastSave="{00000000-0000-0000-0000-000000000000}"/>
  <bookViews>
    <workbookView xWindow="0" yWindow="740" windowWidth="34560" windowHeight="21600" activeTab="6" xr2:uid="{0F22CEF5-805A-AF41-AF88-DE0E51794D72}"/>
  </bookViews>
  <sheets>
    <sheet name="Сountries" sheetId="3" r:id="rId1"/>
    <sheet name="all_countries" sheetId="10" r:id="rId2"/>
    <sheet name="pupulationWorld" sheetId="4" r:id="rId3"/>
    <sheet name="Area" sheetId="25" r:id="rId4"/>
    <sheet name="GDPByCountry" sheetId="26" r:id="rId5"/>
    <sheet name="GDPPerCapita" sheetId="27" r:id="rId6"/>
    <sheet name="BirthsPerDay" sheetId="15" r:id="rId7"/>
    <sheet name="GPI-162" sheetId="22" r:id="rId8"/>
  </sheets>
  <definedNames>
    <definedName name="_xlnm._FilterDatabase" localSheetId="1" hidden="1">all_countries!$A$1:$T$234</definedName>
    <definedName name="_xlnm._FilterDatabase" localSheetId="3" hidden="1">Area!$A$1:$M$234</definedName>
    <definedName name="_xlnm._FilterDatabase" localSheetId="6" hidden="1">BirthsPerDay!$A$1:$F$101</definedName>
    <definedName name="_xlnm._FilterDatabase" localSheetId="4" hidden="1">GDPByCountry!$A$1:$M$182</definedName>
    <definedName name="_xlnm._FilterDatabase" localSheetId="5" hidden="1">GDPPerCapita!$A:$I</definedName>
    <definedName name="_xlnm._FilterDatabase" localSheetId="0" hidden="1">Сountries!$A$1:$Z$227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7" l="1"/>
  <c r="F4" i="27"/>
  <c r="F5" i="27"/>
  <c r="F6" i="27"/>
  <c r="F7" i="27"/>
  <c r="F8" i="27"/>
  <c r="F9" i="27"/>
  <c r="F10" i="27"/>
  <c r="F11" i="27"/>
  <c r="F12" i="27"/>
  <c r="F13" i="27"/>
  <c r="F14" i="27"/>
  <c r="F15" i="27"/>
  <c r="F16" i="27"/>
  <c r="F17" i="27"/>
  <c r="F18" i="27"/>
  <c r="F19" i="27"/>
  <c r="F20" i="27"/>
  <c r="F21" i="27"/>
  <c r="F22" i="27"/>
  <c r="F23" i="27"/>
  <c r="F24" i="27"/>
  <c r="F25" i="27"/>
  <c r="F26" i="27"/>
  <c r="F27" i="27"/>
  <c r="F28" i="27"/>
  <c r="F29" i="27"/>
  <c r="F30" i="27"/>
  <c r="F31" i="27"/>
  <c r="F32" i="27"/>
  <c r="F33" i="27"/>
  <c r="F34" i="27"/>
  <c r="F35" i="27"/>
  <c r="F36" i="27"/>
  <c r="F37" i="27"/>
  <c r="F38" i="27"/>
  <c r="F39" i="27"/>
  <c r="F40" i="27"/>
  <c r="F41" i="27"/>
  <c r="F42" i="27"/>
  <c r="F43" i="27"/>
  <c r="F44" i="27"/>
  <c r="F45" i="27"/>
  <c r="F46" i="27"/>
  <c r="F47" i="27"/>
  <c r="F48" i="27"/>
  <c r="F49" i="27"/>
  <c r="F50" i="27"/>
  <c r="F51" i="27"/>
  <c r="F52" i="27"/>
  <c r="F53" i="27"/>
  <c r="F54" i="27"/>
  <c r="F55" i="27"/>
  <c r="F56" i="27"/>
  <c r="F57" i="27"/>
  <c r="F58" i="27"/>
  <c r="F59" i="27"/>
  <c r="F60" i="27"/>
  <c r="F61" i="27"/>
  <c r="F62" i="27"/>
  <c r="F63" i="27"/>
  <c r="F64" i="27"/>
  <c r="F65" i="27"/>
  <c r="F66" i="27"/>
  <c r="F67" i="27"/>
  <c r="F68" i="27"/>
  <c r="F69" i="27"/>
  <c r="F70" i="27"/>
  <c r="F71" i="27"/>
  <c r="F72" i="27"/>
  <c r="F73" i="27"/>
  <c r="F74" i="27"/>
  <c r="F75" i="27"/>
  <c r="F76" i="27"/>
  <c r="F77" i="27"/>
  <c r="F78" i="27"/>
  <c r="F79" i="27"/>
  <c r="F80" i="27"/>
  <c r="F81" i="27"/>
  <c r="F82" i="27"/>
  <c r="F83" i="27"/>
  <c r="F84" i="27"/>
  <c r="F85" i="27"/>
  <c r="F86" i="27"/>
  <c r="F87" i="27"/>
  <c r="F88" i="27"/>
  <c r="F89" i="27"/>
  <c r="F90" i="27"/>
  <c r="F91" i="27"/>
  <c r="F92" i="27"/>
  <c r="F93" i="27"/>
  <c r="F94" i="27"/>
  <c r="F95" i="27"/>
  <c r="F96" i="27"/>
  <c r="F97" i="27"/>
  <c r="F98" i="27"/>
  <c r="F99" i="27"/>
  <c r="F100" i="27"/>
  <c r="F101" i="27"/>
  <c r="F102" i="27"/>
  <c r="F103" i="27"/>
  <c r="F104" i="27"/>
  <c r="F105" i="27"/>
  <c r="F106" i="27"/>
  <c r="F107" i="27"/>
  <c r="F108" i="27"/>
  <c r="F109" i="27"/>
  <c r="F110" i="27"/>
  <c r="F111" i="27"/>
  <c r="F112" i="27"/>
  <c r="F113" i="27"/>
  <c r="F114" i="27"/>
  <c r="F115" i="27"/>
  <c r="F116" i="27"/>
  <c r="F117" i="27"/>
  <c r="F118" i="27"/>
  <c r="F119" i="27"/>
  <c r="F120" i="27"/>
  <c r="F121" i="27"/>
  <c r="F122" i="27"/>
  <c r="F123" i="27"/>
  <c r="F124" i="27"/>
  <c r="F125" i="27"/>
  <c r="F126" i="27"/>
  <c r="F127" i="27"/>
  <c r="F128" i="27"/>
  <c r="F129" i="27"/>
  <c r="F130" i="27"/>
  <c r="F131" i="27"/>
  <c r="F132" i="27"/>
  <c r="F133" i="27"/>
  <c r="F134" i="27"/>
  <c r="F135" i="27"/>
  <c r="F136" i="27"/>
  <c r="F137" i="27"/>
  <c r="F138" i="27"/>
  <c r="F139" i="27"/>
  <c r="F140" i="27"/>
  <c r="F141" i="27"/>
  <c r="F142" i="27"/>
  <c r="F143" i="27"/>
  <c r="F144" i="27"/>
  <c r="F145" i="27"/>
  <c r="F146" i="27"/>
  <c r="F147" i="27"/>
  <c r="F148" i="27"/>
  <c r="F149" i="27"/>
  <c r="F150" i="27"/>
  <c r="F151" i="27"/>
  <c r="F152" i="27"/>
  <c r="F153" i="27"/>
  <c r="F154" i="27"/>
  <c r="F155" i="27"/>
  <c r="F156" i="27"/>
  <c r="F157" i="27"/>
  <c r="F158" i="27"/>
  <c r="F159" i="27"/>
  <c r="F160" i="27"/>
  <c r="F161" i="27"/>
  <c r="F162" i="27"/>
  <c r="F163" i="27"/>
  <c r="F164" i="27"/>
  <c r="F165" i="27"/>
  <c r="F166" i="27"/>
  <c r="F167" i="27"/>
  <c r="F168" i="27"/>
  <c r="F169" i="27"/>
  <c r="F170" i="27"/>
  <c r="F171" i="27"/>
  <c r="F172" i="27"/>
  <c r="F173" i="27"/>
  <c r="F174" i="27"/>
  <c r="F175" i="27"/>
  <c r="F176" i="27"/>
  <c r="F177" i="27"/>
  <c r="F178" i="27"/>
  <c r="F179" i="27"/>
  <c r="F180" i="27"/>
  <c r="F181" i="27"/>
  <c r="F182" i="27"/>
  <c r="F2" i="27"/>
  <c r="F3" i="26"/>
  <c r="F4" i="26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2" i="26"/>
  <c r="H3" i="26"/>
  <c r="H4" i="26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2" i="26"/>
  <c r="E3" i="27"/>
  <c r="E4" i="27"/>
  <c r="E5" i="27"/>
  <c r="E6" i="27"/>
  <c r="E7" i="27"/>
  <c r="E8" i="27"/>
  <c r="E9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58" i="27"/>
  <c r="E59" i="27"/>
  <c r="E60" i="27"/>
  <c r="E61" i="27"/>
  <c r="E62" i="27"/>
  <c r="E63" i="27"/>
  <c r="E64" i="27"/>
  <c r="E65" i="27"/>
  <c r="E66" i="27"/>
  <c r="E67" i="27"/>
  <c r="E68" i="27"/>
  <c r="E69" i="27"/>
  <c r="E70" i="27"/>
  <c r="E71" i="27"/>
  <c r="E72" i="27"/>
  <c r="E73" i="27"/>
  <c r="E74" i="27"/>
  <c r="E75" i="27"/>
  <c r="E76" i="27"/>
  <c r="E77" i="27"/>
  <c r="E78" i="27"/>
  <c r="E79" i="27"/>
  <c r="E80" i="27"/>
  <c r="E81" i="27"/>
  <c r="E82" i="27"/>
  <c r="E83" i="27"/>
  <c r="E84" i="27"/>
  <c r="E85" i="27"/>
  <c r="E86" i="27"/>
  <c r="E87" i="27"/>
  <c r="E88" i="27"/>
  <c r="E89" i="27"/>
  <c r="E90" i="27"/>
  <c r="E91" i="27"/>
  <c r="E92" i="27"/>
  <c r="E93" i="27"/>
  <c r="E94" i="27"/>
  <c r="E95" i="27"/>
  <c r="E96" i="27"/>
  <c r="E97" i="27"/>
  <c r="E98" i="27"/>
  <c r="E99" i="27"/>
  <c r="E100" i="27"/>
  <c r="E101" i="27"/>
  <c r="E102" i="27"/>
  <c r="E103" i="27"/>
  <c r="E104" i="27"/>
  <c r="E105" i="27"/>
  <c r="E106" i="27"/>
  <c r="E107" i="27"/>
  <c r="E108" i="27"/>
  <c r="E109" i="27"/>
  <c r="E110" i="27"/>
  <c r="E111" i="27"/>
  <c r="E112" i="27"/>
  <c r="E113" i="27"/>
  <c r="E114" i="27"/>
  <c r="E115" i="27"/>
  <c r="E116" i="27"/>
  <c r="E117" i="27"/>
  <c r="E118" i="27"/>
  <c r="E119" i="27"/>
  <c r="E120" i="27"/>
  <c r="E121" i="27"/>
  <c r="E122" i="27"/>
  <c r="E123" i="27"/>
  <c r="E124" i="27"/>
  <c r="E125" i="27"/>
  <c r="E126" i="27"/>
  <c r="E127" i="27"/>
  <c r="E128" i="27"/>
  <c r="E129" i="27"/>
  <c r="E130" i="27"/>
  <c r="E131" i="27"/>
  <c r="E132" i="27"/>
  <c r="E133" i="27"/>
  <c r="E134" i="27"/>
  <c r="E135" i="27"/>
  <c r="E136" i="27"/>
  <c r="E137" i="27"/>
  <c r="E13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153" i="27"/>
  <c r="E154" i="27"/>
  <c r="E155" i="27"/>
  <c r="E156" i="27"/>
  <c r="E157" i="27"/>
  <c r="E158" i="27"/>
  <c r="E159" i="27"/>
  <c r="E160" i="27"/>
  <c r="E161" i="27"/>
  <c r="E162" i="27"/>
  <c r="E163" i="27"/>
  <c r="E164" i="27"/>
  <c r="E165" i="27"/>
  <c r="E166" i="27"/>
  <c r="E167" i="27"/>
  <c r="E168" i="27"/>
  <c r="E169" i="27"/>
  <c r="E170" i="27"/>
  <c r="E171" i="27"/>
  <c r="E172" i="27"/>
  <c r="E173" i="27"/>
  <c r="E174" i="27"/>
  <c r="E175" i="27"/>
  <c r="E176" i="27"/>
  <c r="E177" i="27"/>
  <c r="E178" i="27"/>
  <c r="E179" i="27"/>
  <c r="E180" i="27"/>
  <c r="E181" i="27"/>
  <c r="E182" i="27"/>
  <c r="E2" i="27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2" i="26"/>
  <c r="R3" i="10"/>
  <c r="S3" i="10"/>
  <c r="T3" i="10"/>
  <c r="U3" i="10" s="1"/>
  <c r="R4" i="10"/>
  <c r="S4" i="10"/>
  <c r="T4" i="10"/>
  <c r="U4" i="10" s="1"/>
  <c r="R5" i="10"/>
  <c r="S5" i="10"/>
  <c r="T5" i="10"/>
  <c r="U5" i="10" s="1"/>
  <c r="R6" i="10"/>
  <c r="S6" i="10"/>
  <c r="T6" i="10"/>
  <c r="U6" i="10" s="1"/>
  <c r="R7" i="10"/>
  <c r="S7" i="10"/>
  <c r="T7" i="10"/>
  <c r="U7" i="10" s="1"/>
  <c r="R8" i="10"/>
  <c r="S8" i="10"/>
  <c r="T8" i="10"/>
  <c r="U8" i="10" s="1"/>
  <c r="R9" i="10"/>
  <c r="S9" i="10"/>
  <c r="T9" i="10"/>
  <c r="U9" i="10" s="1"/>
  <c r="R10" i="10"/>
  <c r="S10" i="10"/>
  <c r="T10" i="10"/>
  <c r="U10" i="10" s="1"/>
  <c r="R11" i="10"/>
  <c r="S11" i="10"/>
  <c r="T11" i="10"/>
  <c r="U11" i="10" s="1"/>
  <c r="R12" i="10"/>
  <c r="S12" i="10"/>
  <c r="T12" i="10"/>
  <c r="U12" i="10" s="1"/>
  <c r="R13" i="10"/>
  <c r="S13" i="10"/>
  <c r="T13" i="10"/>
  <c r="U13" i="10" s="1"/>
  <c r="R14" i="10"/>
  <c r="S14" i="10"/>
  <c r="T14" i="10"/>
  <c r="U14" i="10" s="1"/>
  <c r="R15" i="10"/>
  <c r="S15" i="10"/>
  <c r="T15" i="10"/>
  <c r="U15" i="10" s="1"/>
  <c r="R16" i="10"/>
  <c r="S16" i="10"/>
  <c r="T16" i="10"/>
  <c r="U16" i="10" s="1"/>
  <c r="R17" i="10"/>
  <c r="S17" i="10"/>
  <c r="T17" i="10"/>
  <c r="U17" i="10" s="1"/>
  <c r="R18" i="10"/>
  <c r="S18" i="10"/>
  <c r="T18" i="10"/>
  <c r="U18" i="10" s="1"/>
  <c r="R19" i="10"/>
  <c r="S19" i="10"/>
  <c r="T19" i="10"/>
  <c r="U19" i="10" s="1"/>
  <c r="R20" i="10"/>
  <c r="S20" i="10"/>
  <c r="T20" i="10"/>
  <c r="U20" i="10" s="1"/>
  <c r="R21" i="10"/>
  <c r="S21" i="10"/>
  <c r="T21" i="10"/>
  <c r="U21" i="10" s="1"/>
  <c r="R22" i="10"/>
  <c r="S22" i="10"/>
  <c r="T22" i="10"/>
  <c r="U22" i="10" s="1"/>
  <c r="R23" i="10"/>
  <c r="S23" i="10"/>
  <c r="T23" i="10"/>
  <c r="U23" i="10" s="1"/>
  <c r="R24" i="10"/>
  <c r="S24" i="10"/>
  <c r="T24" i="10"/>
  <c r="U24" i="10" s="1"/>
  <c r="R25" i="10"/>
  <c r="S25" i="10"/>
  <c r="T25" i="10"/>
  <c r="U25" i="10" s="1"/>
  <c r="R26" i="10"/>
  <c r="S26" i="10"/>
  <c r="T26" i="10"/>
  <c r="U26" i="10" s="1"/>
  <c r="R27" i="10"/>
  <c r="S27" i="10"/>
  <c r="T27" i="10"/>
  <c r="U27" i="10" s="1"/>
  <c r="R28" i="10"/>
  <c r="S28" i="10"/>
  <c r="T28" i="10"/>
  <c r="U28" i="10" s="1"/>
  <c r="R29" i="10"/>
  <c r="S29" i="10"/>
  <c r="T29" i="10"/>
  <c r="U29" i="10" s="1"/>
  <c r="R30" i="10"/>
  <c r="S30" i="10"/>
  <c r="T30" i="10"/>
  <c r="U30" i="10" s="1"/>
  <c r="R31" i="10"/>
  <c r="S31" i="10"/>
  <c r="T31" i="10"/>
  <c r="U31" i="10" s="1"/>
  <c r="R32" i="10"/>
  <c r="S32" i="10"/>
  <c r="T32" i="10"/>
  <c r="U32" i="10" s="1"/>
  <c r="R33" i="10"/>
  <c r="S33" i="10"/>
  <c r="T33" i="10"/>
  <c r="U33" i="10" s="1"/>
  <c r="R34" i="10"/>
  <c r="S34" i="10"/>
  <c r="T34" i="10"/>
  <c r="U34" i="10" s="1"/>
  <c r="R35" i="10"/>
  <c r="S35" i="10"/>
  <c r="T35" i="10"/>
  <c r="U35" i="10" s="1"/>
  <c r="R36" i="10"/>
  <c r="S36" i="10"/>
  <c r="T36" i="10"/>
  <c r="U36" i="10" s="1"/>
  <c r="R37" i="10"/>
  <c r="S37" i="10"/>
  <c r="T37" i="10"/>
  <c r="U37" i="10" s="1"/>
  <c r="R38" i="10"/>
  <c r="S38" i="10"/>
  <c r="T38" i="10"/>
  <c r="U38" i="10" s="1"/>
  <c r="R39" i="10"/>
  <c r="S39" i="10"/>
  <c r="T39" i="10"/>
  <c r="U39" i="10" s="1"/>
  <c r="R40" i="10"/>
  <c r="S40" i="10"/>
  <c r="T40" i="10"/>
  <c r="U40" i="10" s="1"/>
  <c r="R41" i="10"/>
  <c r="S41" i="10"/>
  <c r="T41" i="10"/>
  <c r="U41" i="10" s="1"/>
  <c r="R42" i="10"/>
  <c r="S42" i="10"/>
  <c r="T42" i="10"/>
  <c r="U42" i="10" s="1"/>
  <c r="R43" i="10"/>
  <c r="S43" i="10"/>
  <c r="T43" i="10"/>
  <c r="U43" i="10" s="1"/>
  <c r="R44" i="10"/>
  <c r="S44" i="10"/>
  <c r="T44" i="10"/>
  <c r="U44" i="10" s="1"/>
  <c r="R45" i="10"/>
  <c r="S45" i="10"/>
  <c r="T45" i="10"/>
  <c r="U45" i="10" s="1"/>
  <c r="R46" i="10"/>
  <c r="S46" i="10"/>
  <c r="T46" i="10"/>
  <c r="U46" i="10" s="1"/>
  <c r="R47" i="10"/>
  <c r="S47" i="10"/>
  <c r="T47" i="10"/>
  <c r="U47" i="10" s="1"/>
  <c r="R48" i="10"/>
  <c r="S48" i="10"/>
  <c r="T48" i="10"/>
  <c r="U48" i="10" s="1"/>
  <c r="R49" i="10"/>
  <c r="S49" i="10"/>
  <c r="T49" i="10"/>
  <c r="U49" i="10" s="1"/>
  <c r="R50" i="10"/>
  <c r="S50" i="10"/>
  <c r="T50" i="10"/>
  <c r="U50" i="10" s="1"/>
  <c r="R51" i="10"/>
  <c r="S51" i="10"/>
  <c r="T51" i="10"/>
  <c r="U51" i="10" s="1"/>
  <c r="R52" i="10"/>
  <c r="S52" i="10"/>
  <c r="T52" i="10"/>
  <c r="U52" i="10" s="1"/>
  <c r="R53" i="10"/>
  <c r="S53" i="10"/>
  <c r="T53" i="10"/>
  <c r="U53" i="10" s="1"/>
  <c r="R54" i="10"/>
  <c r="S54" i="10"/>
  <c r="T54" i="10"/>
  <c r="U54" i="10" s="1"/>
  <c r="R55" i="10"/>
  <c r="S55" i="10"/>
  <c r="T55" i="10"/>
  <c r="U55" i="10" s="1"/>
  <c r="R56" i="10"/>
  <c r="S56" i="10"/>
  <c r="T56" i="10"/>
  <c r="U56" i="10" s="1"/>
  <c r="R57" i="10"/>
  <c r="S57" i="10"/>
  <c r="T57" i="10"/>
  <c r="U57" i="10" s="1"/>
  <c r="R58" i="10"/>
  <c r="S58" i="10"/>
  <c r="T58" i="10"/>
  <c r="U58" i="10" s="1"/>
  <c r="R59" i="10"/>
  <c r="S59" i="10"/>
  <c r="T59" i="10"/>
  <c r="U59" i="10" s="1"/>
  <c r="R60" i="10"/>
  <c r="S60" i="10"/>
  <c r="T60" i="10"/>
  <c r="U60" i="10" s="1"/>
  <c r="R61" i="10"/>
  <c r="S61" i="10"/>
  <c r="T61" i="10"/>
  <c r="U61" i="10" s="1"/>
  <c r="R62" i="10"/>
  <c r="S62" i="10"/>
  <c r="T62" i="10"/>
  <c r="U62" i="10" s="1"/>
  <c r="R63" i="10"/>
  <c r="S63" i="10"/>
  <c r="T63" i="10"/>
  <c r="U63" i="10" s="1"/>
  <c r="R64" i="10"/>
  <c r="S64" i="10"/>
  <c r="T64" i="10"/>
  <c r="U64" i="10" s="1"/>
  <c r="R65" i="10"/>
  <c r="S65" i="10"/>
  <c r="T65" i="10"/>
  <c r="U65" i="10" s="1"/>
  <c r="R66" i="10"/>
  <c r="S66" i="10"/>
  <c r="T66" i="10"/>
  <c r="U66" i="10" s="1"/>
  <c r="R67" i="10"/>
  <c r="S67" i="10"/>
  <c r="T67" i="10"/>
  <c r="U67" i="10" s="1"/>
  <c r="R68" i="10"/>
  <c r="S68" i="10"/>
  <c r="T68" i="10"/>
  <c r="U68" i="10" s="1"/>
  <c r="R69" i="10"/>
  <c r="S69" i="10"/>
  <c r="T69" i="10"/>
  <c r="U69" i="10" s="1"/>
  <c r="R70" i="10"/>
  <c r="S70" i="10"/>
  <c r="T70" i="10"/>
  <c r="U70" i="10" s="1"/>
  <c r="R71" i="10"/>
  <c r="S71" i="10"/>
  <c r="T71" i="10"/>
  <c r="U71" i="10" s="1"/>
  <c r="R72" i="10"/>
  <c r="S72" i="10"/>
  <c r="T72" i="10"/>
  <c r="U72" i="10" s="1"/>
  <c r="R73" i="10"/>
  <c r="S73" i="10"/>
  <c r="T73" i="10"/>
  <c r="U73" i="10" s="1"/>
  <c r="R74" i="10"/>
  <c r="S74" i="10"/>
  <c r="T74" i="10"/>
  <c r="U74" i="10" s="1"/>
  <c r="R75" i="10"/>
  <c r="S75" i="10"/>
  <c r="T75" i="10"/>
  <c r="U75" i="10" s="1"/>
  <c r="R76" i="10"/>
  <c r="S76" i="10"/>
  <c r="T76" i="10"/>
  <c r="U76" i="10" s="1"/>
  <c r="R77" i="10"/>
  <c r="S77" i="10"/>
  <c r="T77" i="10"/>
  <c r="U77" i="10" s="1"/>
  <c r="R78" i="10"/>
  <c r="S78" i="10"/>
  <c r="T78" i="10"/>
  <c r="U78" i="10" s="1"/>
  <c r="R79" i="10"/>
  <c r="S79" i="10"/>
  <c r="T79" i="10"/>
  <c r="U79" i="10" s="1"/>
  <c r="R80" i="10"/>
  <c r="S80" i="10"/>
  <c r="T80" i="10"/>
  <c r="U80" i="10" s="1"/>
  <c r="R81" i="10"/>
  <c r="S81" i="10"/>
  <c r="T81" i="10"/>
  <c r="U81" i="10" s="1"/>
  <c r="R82" i="10"/>
  <c r="S82" i="10"/>
  <c r="T82" i="10"/>
  <c r="U82" i="10" s="1"/>
  <c r="R83" i="10"/>
  <c r="S83" i="10"/>
  <c r="T83" i="10"/>
  <c r="U83" i="10" s="1"/>
  <c r="R84" i="10"/>
  <c r="S84" i="10"/>
  <c r="T84" i="10"/>
  <c r="U84" i="10" s="1"/>
  <c r="R85" i="10"/>
  <c r="S85" i="10"/>
  <c r="T85" i="10"/>
  <c r="U85" i="10" s="1"/>
  <c r="R86" i="10"/>
  <c r="S86" i="10"/>
  <c r="T86" i="10"/>
  <c r="U86" i="10" s="1"/>
  <c r="R87" i="10"/>
  <c r="S87" i="10"/>
  <c r="T87" i="10"/>
  <c r="U87" i="10" s="1"/>
  <c r="R88" i="10"/>
  <c r="S88" i="10"/>
  <c r="T88" i="10"/>
  <c r="U88" i="10" s="1"/>
  <c r="R89" i="10"/>
  <c r="S89" i="10"/>
  <c r="T89" i="10"/>
  <c r="U89" i="10" s="1"/>
  <c r="R90" i="10"/>
  <c r="S90" i="10"/>
  <c r="T90" i="10"/>
  <c r="U90" i="10" s="1"/>
  <c r="R91" i="10"/>
  <c r="S91" i="10"/>
  <c r="T91" i="10"/>
  <c r="U91" i="10" s="1"/>
  <c r="R92" i="10"/>
  <c r="S92" i="10"/>
  <c r="T92" i="10"/>
  <c r="U92" i="10" s="1"/>
  <c r="R93" i="10"/>
  <c r="S93" i="10"/>
  <c r="T93" i="10"/>
  <c r="U93" i="10" s="1"/>
  <c r="R94" i="10"/>
  <c r="S94" i="10"/>
  <c r="T94" i="10"/>
  <c r="U94" i="10" s="1"/>
  <c r="R95" i="10"/>
  <c r="S95" i="10"/>
  <c r="T95" i="10"/>
  <c r="U95" i="10" s="1"/>
  <c r="R96" i="10"/>
  <c r="S96" i="10"/>
  <c r="T96" i="10"/>
  <c r="U96" i="10" s="1"/>
  <c r="R97" i="10"/>
  <c r="S97" i="10"/>
  <c r="T97" i="10"/>
  <c r="U97" i="10" s="1"/>
  <c r="R98" i="10"/>
  <c r="S98" i="10"/>
  <c r="T98" i="10"/>
  <c r="U98" i="10" s="1"/>
  <c r="R99" i="10"/>
  <c r="S99" i="10"/>
  <c r="T99" i="10"/>
  <c r="U99" i="10" s="1"/>
  <c r="R100" i="10"/>
  <c r="S100" i="10"/>
  <c r="T100" i="10"/>
  <c r="U100" i="10" s="1"/>
  <c r="R101" i="10"/>
  <c r="S101" i="10"/>
  <c r="T101" i="10"/>
  <c r="U101" i="10" s="1"/>
  <c r="R102" i="10"/>
  <c r="S102" i="10"/>
  <c r="T102" i="10"/>
  <c r="U102" i="10" s="1"/>
  <c r="R103" i="10"/>
  <c r="S103" i="10"/>
  <c r="T103" i="10"/>
  <c r="U103" i="10" s="1"/>
  <c r="R104" i="10"/>
  <c r="S104" i="10"/>
  <c r="T104" i="10"/>
  <c r="U104" i="10" s="1"/>
  <c r="R105" i="10"/>
  <c r="S105" i="10"/>
  <c r="T105" i="10"/>
  <c r="U105" i="10" s="1"/>
  <c r="R106" i="10"/>
  <c r="S106" i="10"/>
  <c r="T106" i="10"/>
  <c r="U106" i="10" s="1"/>
  <c r="R107" i="10"/>
  <c r="S107" i="10"/>
  <c r="T107" i="10"/>
  <c r="U107" i="10" s="1"/>
  <c r="R108" i="10"/>
  <c r="S108" i="10"/>
  <c r="T108" i="10"/>
  <c r="U108" i="10" s="1"/>
  <c r="R109" i="10"/>
  <c r="S109" i="10"/>
  <c r="T109" i="10"/>
  <c r="U109" i="10" s="1"/>
  <c r="R110" i="10"/>
  <c r="S110" i="10"/>
  <c r="T110" i="10"/>
  <c r="U110" i="10" s="1"/>
  <c r="R111" i="10"/>
  <c r="S111" i="10"/>
  <c r="T111" i="10"/>
  <c r="U111" i="10" s="1"/>
  <c r="R112" i="10"/>
  <c r="S112" i="10"/>
  <c r="T112" i="10"/>
  <c r="U112" i="10" s="1"/>
  <c r="R113" i="10"/>
  <c r="S113" i="10"/>
  <c r="T113" i="10"/>
  <c r="U113" i="10" s="1"/>
  <c r="R114" i="10"/>
  <c r="S114" i="10"/>
  <c r="T114" i="10"/>
  <c r="U114" i="10" s="1"/>
  <c r="R115" i="10"/>
  <c r="S115" i="10"/>
  <c r="T115" i="10"/>
  <c r="U115" i="10" s="1"/>
  <c r="R116" i="10"/>
  <c r="S116" i="10"/>
  <c r="T116" i="10"/>
  <c r="U116" i="10" s="1"/>
  <c r="R117" i="10"/>
  <c r="S117" i="10"/>
  <c r="T117" i="10"/>
  <c r="U117" i="10" s="1"/>
  <c r="R118" i="10"/>
  <c r="S118" i="10"/>
  <c r="T118" i="10"/>
  <c r="U118" i="10" s="1"/>
  <c r="R119" i="10"/>
  <c r="S119" i="10"/>
  <c r="T119" i="10"/>
  <c r="U119" i="10" s="1"/>
  <c r="R120" i="10"/>
  <c r="S120" i="10"/>
  <c r="T120" i="10"/>
  <c r="U120" i="10" s="1"/>
  <c r="R121" i="10"/>
  <c r="S121" i="10"/>
  <c r="T121" i="10"/>
  <c r="U121" i="10" s="1"/>
  <c r="R122" i="10"/>
  <c r="S122" i="10"/>
  <c r="T122" i="10"/>
  <c r="U122" i="10" s="1"/>
  <c r="R123" i="10"/>
  <c r="S123" i="10"/>
  <c r="T123" i="10"/>
  <c r="U123" i="10" s="1"/>
  <c r="R124" i="10"/>
  <c r="S124" i="10"/>
  <c r="T124" i="10"/>
  <c r="U124" i="10" s="1"/>
  <c r="R125" i="10"/>
  <c r="S125" i="10"/>
  <c r="T125" i="10"/>
  <c r="U125" i="10" s="1"/>
  <c r="R126" i="10"/>
  <c r="S126" i="10"/>
  <c r="T126" i="10"/>
  <c r="U126" i="10" s="1"/>
  <c r="R127" i="10"/>
  <c r="S127" i="10"/>
  <c r="T127" i="10"/>
  <c r="U127" i="10" s="1"/>
  <c r="R128" i="10"/>
  <c r="S128" i="10"/>
  <c r="T128" i="10"/>
  <c r="U128" i="10" s="1"/>
  <c r="R129" i="10"/>
  <c r="S129" i="10"/>
  <c r="T129" i="10"/>
  <c r="U129" i="10" s="1"/>
  <c r="R130" i="10"/>
  <c r="S130" i="10"/>
  <c r="T130" i="10"/>
  <c r="U130" i="10" s="1"/>
  <c r="R131" i="10"/>
  <c r="S131" i="10"/>
  <c r="T131" i="10"/>
  <c r="U131" i="10" s="1"/>
  <c r="R132" i="10"/>
  <c r="S132" i="10"/>
  <c r="T132" i="10"/>
  <c r="U132" i="10" s="1"/>
  <c r="R133" i="10"/>
  <c r="S133" i="10"/>
  <c r="T133" i="10"/>
  <c r="U133" i="10" s="1"/>
  <c r="R134" i="10"/>
  <c r="S134" i="10"/>
  <c r="T134" i="10"/>
  <c r="U134" i="10" s="1"/>
  <c r="R135" i="10"/>
  <c r="S135" i="10"/>
  <c r="T135" i="10"/>
  <c r="U135" i="10" s="1"/>
  <c r="R136" i="10"/>
  <c r="S136" i="10"/>
  <c r="T136" i="10"/>
  <c r="U136" i="10" s="1"/>
  <c r="R137" i="10"/>
  <c r="S137" i="10"/>
  <c r="T137" i="10"/>
  <c r="U137" i="10" s="1"/>
  <c r="R138" i="10"/>
  <c r="S138" i="10"/>
  <c r="T138" i="10"/>
  <c r="U138" i="10" s="1"/>
  <c r="R139" i="10"/>
  <c r="S139" i="10"/>
  <c r="T139" i="10"/>
  <c r="U139" i="10" s="1"/>
  <c r="R140" i="10"/>
  <c r="S140" i="10"/>
  <c r="T140" i="10"/>
  <c r="U140" i="10" s="1"/>
  <c r="R141" i="10"/>
  <c r="S141" i="10"/>
  <c r="T141" i="10"/>
  <c r="U141" i="10" s="1"/>
  <c r="R142" i="10"/>
  <c r="S142" i="10"/>
  <c r="T142" i="10"/>
  <c r="U142" i="10" s="1"/>
  <c r="R143" i="10"/>
  <c r="S143" i="10"/>
  <c r="T143" i="10"/>
  <c r="U143" i="10" s="1"/>
  <c r="R144" i="10"/>
  <c r="S144" i="10"/>
  <c r="T144" i="10"/>
  <c r="U144" i="10" s="1"/>
  <c r="R145" i="10"/>
  <c r="S145" i="10"/>
  <c r="T145" i="10"/>
  <c r="U145" i="10" s="1"/>
  <c r="R146" i="10"/>
  <c r="S146" i="10"/>
  <c r="T146" i="10"/>
  <c r="U146" i="10" s="1"/>
  <c r="R147" i="10"/>
  <c r="S147" i="10"/>
  <c r="T147" i="10"/>
  <c r="U147" i="10" s="1"/>
  <c r="R148" i="10"/>
  <c r="S148" i="10"/>
  <c r="T148" i="10"/>
  <c r="U148" i="10" s="1"/>
  <c r="R149" i="10"/>
  <c r="S149" i="10"/>
  <c r="T149" i="10"/>
  <c r="U149" i="10" s="1"/>
  <c r="R150" i="10"/>
  <c r="S150" i="10"/>
  <c r="T150" i="10"/>
  <c r="U150" i="10" s="1"/>
  <c r="R151" i="10"/>
  <c r="S151" i="10"/>
  <c r="T151" i="10"/>
  <c r="U151" i="10" s="1"/>
  <c r="R152" i="10"/>
  <c r="S152" i="10"/>
  <c r="T152" i="10"/>
  <c r="U152" i="10" s="1"/>
  <c r="R153" i="10"/>
  <c r="S153" i="10"/>
  <c r="T153" i="10"/>
  <c r="U153" i="10" s="1"/>
  <c r="R154" i="10"/>
  <c r="S154" i="10"/>
  <c r="T154" i="10"/>
  <c r="U154" i="10" s="1"/>
  <c r="R155" i="10"/>
  <c r="S155" i="10"/>
  <c r="T155" i="10"/>
  <c r="U155" i="10" s="1"/>
  <c r="R156" i="10"/>
  <c r="S156" i="10"/>
  <c r="T156" i="10"/>
  <c r="U156" i="10" s="1"/>
  <c r="R157" i="10"/>
  <c r="S157" i="10"/>
  <c r="T157" i="10"/>
  <c r="U157" i="10" s="1"/>
  <c r="R158" i="10"/>
  <c r="S158" i="10"/>
  <c r="T158" i="10"/>
  <c r="U158" i="10" s="1"/>
  <c r="R159" i="10"/>
  <c r="S159" i="10"/>
  <c r="T159" i="10"/>
  <c r="U159" i="10" s="1"/>
  <c r="R160" i="10"/>
  <c r="S160" i="10"/>
  <c r="T160" i="10"/>
  <c r="U160" i="10" s="1"/>
  <c r="R161" i="10"/>
  <c r="S161" i="10"/>
  <c r="T161" i="10"/>
  <c r="U161" i="10" s="1"/>
  <c r="R162" i="10"/>
  <c r="S162" i="10"/>
  <c r="T162" i="10"/>
  <c r="U162" i="10" s="1"/>
  <c r="R163" i="10"/>
  <c r="S163" i="10"/>
  <c r="T163" i="10"/>
  <c r="U163" i="10" s="1"/>
  <c r="R164" i="10"/>
  <c r="S164" i="10"/>
  <c r="T164" i="10"/>
  <c r="U164" i="10" s="1"/>
  <c r="R165" i="10"/>
  <c r="S165" i="10"/>
  <c r="T165" i="10"/>
  <c r="U165" i="10" s="1"/>
  <c r="R166" i="10"/>
  <c r="S166" i="10"/>
  <c r="T166" i="10"/>
  <c r="U166" i="10" s="1"/>
  <c r="R167" i="10"/>
  <c r="S167" i="10"/>
  <c r="T167" i="10"/>
  <c r="U167" i="10" s="1"/>
  <c r="R168" i="10"/>
  <c r="S168" i="10"/>
  <c r="T168" i="10"/>
  <c r="U168" i="10" s="1"/>
  <c r="R169" i="10"/>
  <c r="S169" i="10"/>
  <c r="T169" i="10"/>
  <c r="U169" i="10" s="1"/>
  <c r="R170" i="10"/>
  <c r="S170" i="10"/>
  <c r="T170" i="10"/>
  <c r="U170" i="10" s="1"/>
  <c r="R171" i="10"/>
  <c r="S171" i="10"/>
  <c r="T171" i="10"/>
  <c r="U171" i="10" s="1"/>
  <c r="R172" i="10"/>
  <c r="S172" i="10"/>
  <c r="T172" i="10"/>
  <c r="U172" i="10" s="1"/>
  <c r="R173" i="10"/>
  <c r="S173" i="10"/>
  <c r="T173" i="10"/>
  <c r="U173" i="10" s="1"/>
  <c r="R174" i="10"/>
  <c r="S174" i="10"/>
  <c r="T174" i="10"/>
  <c r="U174" i="10" s="1"/>
  <c r="R175" i="10"/>
  <c r="S175" i="10"/>
  <c r="T175" i="10"/>
  <c r="U175" i="10" s="1"/>
  <c r="R176" i="10"/>
  <c r="S176" i="10"/>
  <c r="T176" i="10"/>
  <c r="U176" i="10" s="1"/>
  <c r="R177" i="10"/>
  <c r="S177" i="10"/>
  <c r="T177" i="10"/>
  <c r="U177" i="10" s="1"/>
  <c r="R178" i="10"/>
  <c r="S178" i="10"/>
  <c r="T178" i="10"/>
  <c r="U178" i="10" s="1"/>
  <c r="R179" i="10"/>
  <c r="S179" i="10"/>
  <c r="T179" i="10"/>
  <c r="U179" i="10" s="1"/>
  <c r="R180" i="10"/>
  <c r="S180" i="10"/>
  <c r="T180" i="10"/>
  <c r="U180" i="10" s="1"/>
  <c r="R181" i="10"/>
  <c r="S181" i="10"/>
  <c r="T181" i="10"/>
  <c r="U181" i="10" s="1"/>
  <c r="R182" i="10"/>
  <c r="S182" i="10"/>
  <c r="T182" i="10"/>
  <c r="U182" i="10" s="1"/>
  <c r="R183" i="10"/>
  <c r="S183" i="10"/>
  <c r="T183" i="10"/>
  <c r="U183" i="10" s="1"/>
  <c r="R184" i="10"/>
  <c r="S184" i="10"/>
  <c r="T184" i="10"/>
  <c r="U184" i="10" s="1"/>
  <c r="R185" i="10"/>
  <c r="S185" i="10"/>
  <c r="T185" i="10"/>
  <c r="U185" i="10" s="1"/>
  <c r="R186" i="10"/>
  <c r="S186" i="10"/>
  <c r="T186" i="10"/>
  <c r="U186" i="10" s="1"/>
  <c r="R187" i="10"/>
  <c r="S187" i="10"/>
  <c r="T187" i="10"/>
  <c r="U187" i="10" s="1"/>
  <c r="R188" i="10"/>
  <c r="S188" i="10"/>
  <c r="T188" i="10"/>
  <c r="U188" i="10" s="1"/>
  <c r="R189" i="10"/>
  <c r="S189" i="10"/>
  <c r="T189" i="10"/>
  <c r="U189" i="10" s="1"/>
  <c r="R190" i="10"/>
  <c r="S190" i="10"/>
  <c r="T190" i="10"/>
  <c r="U190" i="10" s="1"/>
  <c r="R191" i="10"/>
  <c r="S191" i="10"/>
  <c r="T191" i="10"/>
  <c r="U191" i="10" s="1"/>
  <c r="R192" i="10"/>
  <c r="S192" i="10"/>
  <c r="T192" i="10"/>
  <c r="U192" i="10" s="1"/>
  <c r="R193" i="10"/>
  <c r="S193" i="10"/>
  <c r="T193" i="10"/>
  <c r="U193" i="10" s="1"/>
  <c r="R194" i="10"/>
  <c r="S194" i="10"/>
  <c r="T194" i="10"/>
  <c r="U194" i="10" s="1"/>
  <c r="R195" i="10"/>
  <c r="S195" i="10"/>
  <c r="T195" i="10"/>
  <c r="U195" i="10" s="1"/>
  <c r="R196" i="10"/>
  <c r="S196" i="10"/>
  <c r="T196" i="10"/>
  <c r="U196" i="10" s="1"/>
  <c r="R197" i="10"/>
  <c r="S197" i="10"/>
  <c r="T197" i="10"/>
  <c r="U197" i="10" s="1"/>
  <c r="R198" i="10"/>
  <c r="S198" i="10"/>
  <c r="T198" i="10"/>
  <c r="U198" i="10" s="1"/>
  <c r="R199" i="10"/>
  <c r="S199" i="10"/>
  <c r="T199" i="10"/>
  <c r="U199" i="10" s="1"/>
  <c r="R200" i="10"/>
  <c r="S200" i="10"/>
  <c r="T200" i="10"/>
  <c r="U200" i="10" s="1"/>
  <c r="R201" i="10"/>
  <c r="S201" i="10"/>
  <c r="T201" i="10"/>
  <c r="U201" i="10" s="1"/>
  <c r="R202" i="10"/>
  <c r="S202" i="10"/>
  <c r="T202" i="10"/>
  <c r="U202" i="10" s="1"/>
  <c r="R203" i="10"/>
  <c r="S203" i="10"/>
  <c r="T203" i="10"/>
  <c r="U203" i="10" s="1"/>
  <c r="R204" i="10"/>
  <c r="S204" i="10"/>
  <c r="T204" i="10"/>
  <c r="U204" i="10" s="1"/>
  <c r="R205" i="10"/>
  <c r="S205" i="10"/>
  <c r="T205" i="10"/>
  <c r="U205" i="10" s="1"/>
  <c r="R206" i="10"/>
  <c r="S206" i="10"/>
  <c r="T206" i="10"/>
  <c r="U206" i="10" s="1"/>
  <c r="R207" i="10"/>
  <c r="S207" i="10"/>
  <c r="T207" i="10"/>
  <c r="U207" i="10" s="1"/>
  <c r="R208" i="10"/>
  <c r="S208" i="10"/>
  <c r="T208" i="10"/>
  <c r="U208" i="10" s="1"/>
  <c r="R209" i="10"/>
  <c r="S209" i="10"/>
  <c r="T209" i="10"/>
  <c r="U209" i="10" s="1"/>
  <c r="R210" i="10"/>
  <c r="S210" i="10"/>
  <c r="T210" i="10"/>
  <c r="U210" i="10" s="1"/>
  <c r="R211" i="10"/>
  <c r="S211" i="10"/>
  <c r="T211" i="10"/>
  <c r="U211" i="10" s="1"/>
  <c r="R212" i="10"/>
  <c r="S212" i="10"/>
  <c r="T212" i="10"/>
  <c r="U212" i="10" s="1"/>
  <c r="R213" i="10"/>
  <c r="S213" i="10"/>
  <c r="T213" i="10"/>
  <c r="U213" i="10" s="1"/>
  <c r="R214" i="10"/>
  <c r="S214" i="10"/>
  <c r="T214" i="10"/>
  <c r="U214" i="10" s="1"/>
  <c r="R215" i="10"/>
  <c r="S215" i="10"/>
  <c r="T215" i="10"/>
  <c r="U215" i="10" s="1"/>
  <c r="R216" i="10"/>
  <c r="S216" i="10"/>
  <c r="T216" i="10"/>
  <c r="U216" i="10" s="1"/>
  <c r="R217" i="10"/>
  <c r="S217" i="10"/>
  <c r="T217" i="10"/>
  <c r="U217" i="10" s="1"/>
  <c r="R218" i="10"/>
  <c r="S218" i="10"/>
  <c r="T218" i="10"/>
  <c r="U218" i="10" s="1"/>
  <c r="R219" i="10"/>
  <c r="S219" i="10"/>
  <c r="T219" i="10"/>
  <c r="U219" i="10" s="1"/>
  <c r="R220" i="10"/>
  <c r="S220" i="10"/>
  <c r="T220" i="10"/>
  <c r="U220" i="10" s="1"/>
  <c r="R221" i="10"/>
  <c r="S221" i="10"/>
  <c r="T221" i="10"/>
  <c r="U221" i="10" s="1"/>
  <c r="R222" i="10"/>
  <c r="S222" i="10"/>
  <c r="T222" i="10"/>
  <c r="U222" i="10" s="1"/>
  <c r="R223" i="10"/>
  <c r="S223" i="10"/>
  <c r="T223" i="10"/>
  <c r="U223" i="10" s="1"/>
  <c r="R224" i="10"/>
  <c r="S224" i="10"/>
  <c r="T224" i="10"/>
  <c r="U224" i="10" s="1"/>
  <c r="R225" i="10"/>
  <c r="S225" i="10"/>
  <c r="T225" i="10"/>
  <c r="U225" i="10" s="1"/>
  <c r="R226" i="10"/>
  <c r="S226" i="10"/>
  <c r="T226" i="10"/>
  <c r="U226" i="10" s="1"/>
  <c r="R227" i="10"/>
  <c r="S227" i="10"/>
  <c r="T227" i="10"/>
  <c r="U227" i="10" s="1"/>
  <c r="R228" i="10"/>
  <c r="S228" i="10"/>
  <c r="T228" i="10"/>
  <c r="U228" i="10" s="1"/>
  <c r="R229" i="10"/>
  <c r="S229" i="10"/>
  <c r="T229" i="10"/>
  <c r="U229" i="10" s="1"/>
  <c r="R230" i="10"/>
  <c r="S230" i="10"/>
  <c r="T230" i="10"/>
  <c r="U230" i="10" s="1"/>
  <c r="R231" i="10"/>
  <c r="S231" i="10"/>
  <c r="T231" i="10"/>
  <c r="U231" i="10" s="1"/>
  <c r="R232" i="10"/>
  <c r="S232" i="10"/>
  <c r="T232" i="10"/>
  <c r="U232" i="10" s="1"/>
  <c r="R233" i="10"/>
  <c r="S233" i="10"/>
  <c r="T233" i="10"/>
  <c r="U233" i="10" s="1"/>
  <c r="R234" i="10"/>
  <c r="S234" i="10"/>
  <c r="T234" i="10"/>
  <c r="U234" i="10" s="1"/>
  <c r="T2" i="10"/>
  <c r="U2" i="10" s="1"/>
  <c r="S2" i="10"/>
  <c r="R2" i="10"/>
  <c r="L3" i="25"/>
  <c r="M3" i="25"/>
  <c r="L4" i="25"/>
  <c r="M4" i="25"/>
  <c r="L5" i="25"/>
  <c r="M5" i="25"/>
  <c r="L6" i="25"/>
  <c r="M6" i="25"/>
  <c r="L7" i="25"/>
  <c r="M7" i="25"/>
  <c r="L8" i="25"/>
  <c r="M8" i="25"/>
  <c r="L9" i="25"/>
  <c r="M9" i="25"/>
  <c r="L10" i="25"/>
  <c r="M10" i="25"/>
  <c r="L11" i="25"/>
  <c r="M11" i="25"/>
  <c r="L12" i="25"/>
  <c r="M12" i="25"/>
  <c r="L13" i="25"/>
  <c r="M13" i="25"/>
  <c r="L14" i="25"/>
  <c r="M14" i="25"/>
  <c r="L15" i="25"/>
  <c r="M15" i="25"/>
  <c r="L16" i="25"/>
  <c r="M16" i="25"/>
  <c r="L17" i="25"/>
  <c r="M17" i="25"/>
  <c r="L18" i="25"/>
  <c r="M18" i="25"/>
  <c r="L19" i="25"/>
  <c r="M19" i="25"/>
  <c r="L20" i="25"/>
  <c r="M20" i="25"/>
  <c r="L21" i="25"/>
  <c r="M21" i="25"/>
  <c r="L22" i="25"/>
  <c r="M22" i="25"/>
  <c r="L23" i="25"/>
  <c r="M23" i="25"/>
  <c r="L24" i="25"/>
  <c r="M24" i="25"/>
  <c r="L25" i="25"/>
  <c r="M25" i="25"/>
  <c r="L26" i="25"/>
  <c r="M26" i="25"/>
  <c r="L27" i="25"/>
  <c r="M27" i="25"/>
  <c r="L28" i="25"/>
  <c r="M28" i="25"/>
  <c r="L29" i="25"/>
  <c r="M29" i="25"/>
  <c r="L30" i="25"/>
  <c r="M30" i="25"/>
  <c r="L31" i="25"/>
  <c r="M31" i="25"/>
  <c r="L32" i="25"/>
  <c r="M32" i="25"/>
  <c r="L33" i="25"/>
  <c r="M33" i="25"/>
  <c r="L34" i="25"/>
  <c r="M34" i="25"/>
  <c r="L35" i="25"/>
  <c r="M35" i="25"/>
  <c r="L36" i="25"/>
  <c r="M36" i="25"/>
  <c r="L37" i="25"/>
  <c r="M37" i="25"/>
  <c r="L38" i="25"/>
  <c r="M38" i="25"/>
  <c r="L39" i="25"/>
  <c r="M39" i="25"/>
  <c r="L40" i="25"/>
  <c r="M40" i="25"/>
  <c r="L41" i="25"/>
  <c r="M41" i="25"/>
  <c r="L42" i="25"/>
  <c r="M42" i="25"/>
  <c r="L43" i="25"/>
  <c r="M43" i="25"/>
  <c r="L44" i="25"/>
  <c r="M44" i="25"/>
  <c r="L45" i="25"/>
  <c r="M45" i="25"/>
  <c r="L46" i="25"/>
  <c r="M46" i="25"/>
  <c r="L47" i="25"/>
  <c r="M47" i="25"/>
  <c r="L48" i="25"/>
  <c r="M48" i="25"/>
  <c r="L49" i="25"/>
  <c r="M49" i="25"/>
  <c r="L50" i="25"/>
  <c r="M50" i="25"/>
  <c r="L51" i="25"/>
  <c r="M51" i="25"/>
  <c r="L52" i="25"/>
  <c r="M52" i="25"/>
  <c r="L53" i="25"/>
  <c r="M53" i="25"/>
  <c r="L54" i="25"/>
  <c r="M54" i="25"/>
  <c r="L55" i="25"/>
  <c r="M55" i="25"/>
  <c r="L56" i="25"/>
  <c r="M56" i="25"/>
  <c r="L57" i="25"/>
  <c r="M57" i="25"/>
  <c r="L58" i="25"/>
  <c r="M58" i="25"/>
  <c r="L59" i="25"/>
  <c r="M59" i="25"/>
  <c r="L60" i="25"/>
  <c r="M60" i="25"/>
  <c r="L61" i="25"/>
  <c r="M61" i="25"/>
  <c r="L62" i="25"/>
  <c r="M62" i="25"/>
  <c r="L63" i="25"/>
  <c r="M63" i="25"/>
  <c r="L64" i="25"/>
  <c r="M64" i="25"/>
  <c r="L65" i="25"/>
  <c r="M65" i="25"/>
  <c r="L66" i="25"/>
  <c r="M66" i="25"/>
  <c r="L67" i="25"/>
  <c r="M67" i="25"/>
  <c r="L68" i="25"/>
  <c r="M68" i="25"/>
  <c r="L69" i="25"/>
  <c r="M69" i="25"/>
  <c r="L70" i="25"/>
  <c r="M70" i="25"/>
  <c r="L71" i="25"/>
  <c r="M71" i="25"/>
  <c r="L72" i="25"/>
  <c r="M72" i="25"/>
  <c r="L73" i="25"/>
  <c r="M73" i="25"/>
  <c r="L74" i="25"/>
  <c r="M74" i="25"/>
  <c r="L75" i="25"/>
  <c r="M75" i="25"/>
  <c r="L76" i="25"/>
  <c r="M76" i="25"/>
  <c r="L77" i="25"/>
  <c r="M77" i="25"/>
  <c r="L78" i="25"/>
  <c r="M78" i="25"/>
  <c r="L79" i="25"/>
  <c r="M79" i="25"/>
  <c r="L80" i="25"/>
  <c r="M80" i="25"/>
  <c r="L81" i="25"/>
  <c r="M81" i="25"/>
  <c r="L82" i="25"/>
  <c r="M82" i="25"/>
  <c r="L83" i="25"/>
  <c r="M83" i="25"/>
  <c r="L84" i="25"/>
  <c r="M84" i="25"/>
  <c r="L85" i="25"/>
  <c r="M85" i="25"/>
  <c r="L86" i="25"/>
  <c r="M86" i="25"/>
  <c r="L87" i="25"/>
  <c r="M87" i="25"/>
  <c r="L88" i="25"/>
  <c r="M88" i="25"/>
  <c r="L89" i="25"/>
  <c r="M89" i="25"/>
  <c r="L90" i="25"/>
  <c r="M90" i="25"/>
  <c r="L91" i="25"/>
  <c r="M91" i="25"/>
  <c r="L92" i="25"/>
  <c r="M92" i="25"/>
  <c r="L93" i="25"/>
  <c r="M93" i="25"/>
  <c r="L94" i="25"/>
  <c r="M94" i="25"/>
  <c r="L95" i="25"/>
  <c r="M95" i="25"/>
  <c r="L96" i="25"/>
  <c r="M96" i="25"/>
  <c r="L97" i="25"/>
  <c r="M97" i="25"/>
  <c r="L98" i="25"/>
  <c r="M98" i="25"/>
  <c r="L99" i="25"/>
  <c r="M99" i="25"/>
  <c r="L100" i="25"/>
  <c r="M100" i="25"/>
  <c r="L101" i="25"/>
  <c r="M101" i="25"/>
  <c r="L102" i="25"/>
  <c r="M102" i="25"/>
  <c r="L103" i="25"/>
  <c r="M103" i="25"/>
  <c r="L104" i="25"/>
  <c r="M104" i="25"/>
  <c r="L105" i="25"/>
  <c r="M105" i="25"/>
  <c r="L106" i="25"/>
  <c r="M106" i="25"/>
  <c r="L107" i="25"/>
  <c r="M107" i="25"/>
  <c r="L108" i="25"/>
  <c r="M108" i="25"/>
  <c r="L109" i="25"/>
  <c r="M109" i="25"/>
  <c r="L110" i="25"/>
  <c r="M110" i="25"/>
  <c r="L111" i="25"/>
  <c r="M111" i="25"/>
  <c r="L112" i="25"/>
  <c r="M112" i="25"/>
  <c r="L113" i="25"/>
  <c r="M113" i="25"/>
  <c r="L114" i="25"/>
  <c r="M114" i="25"/>
  <c r="L115" i="25"/>
  <c r="M115" i="25"/>
  <c r="L116" i="25"/>
  <c r="M116" i="25"/>
  <c r="L117" i="25"/>
  <c r="M117" i="25"/>
  <c r="L118" i="25"/>
  <c r="M118" i="25"/>
  <c r="L119" i="25"/>
  <c r="M119" i="25"/>
  <c r="L120" i="25"/>
  <c r="M120" i="25"/>
  <c r="L121" i="25"/>
  <c r="M121" i="25"/>
  <c r="L122" i="25"/>
  <c r="M122" i="25"/>
  <c r="L123" i="25"/>
  <c r="M123" i="25"/>
  <c r="L124" i="25"/>
  <c r="M124" i="25"/>
  <c r="L125" i="25"/>
  <c r="M125" i="25"/>
  <c r="L126" i="25"/>
  <c r="M126" i="25"/>
  <c r="L127" i="25"/>
  <c r="M127" i="25"/>
  <c r="L128" i="25"/>
  <c r="M128" i="25"/>
  <c r="L129" i="25"/>
  <c r="M129" i="25"/>
  <c r="L130" i="25"/>
  <c r="M130" i="25"/>
  <c r="L131" i="25"/>
  <c r="M131" i="25"/>
  <c r="L132" i="25"/>
  <c r="M132" i="25"/>
  <c r="L133" i="25"/>
  <c r="M133" i="25"/>
  <c r="L134" i="25"/>
  <c r="M134" i="25"/>
  <c r="L135" i="25"/>
  <c r="M135" i="25"/>
  <c r="L136" i="25"/>
  <c r="M136" i="25"/>
  <c r="L137" i="25"/>
  <c r="M137" i="25"/>
  <c r="L138" i="25"/>
  <c r="M138" i="25"/>
  <c r="L139" i="25"/>
  <c r="M139" i="25"/>
  <c r="L140" i="25"/>
  <c r="M140" i="25"/>
  <c r="L141" i="25"/>
  <c r="M141" i="25"/>
  <c r="L142" i="25"/>
  <c r="M142" i="25"/>
  <c r="L143" i="25"/>
  <c r="M143" i="25"/>
  <c r="L144" i="25"/>
  <c r="M144" i="25"/>
  <c r="L145" i="25"/>
  <c r="M145" i="25"/>
  <c r="L146" i="25"/>
  <c r="M146" i="25"/>
  <c r="L147" i="25"/>
  <c r="M147" i="25"/>
  <c r="L148" i="25"/>
  <c r="M148" i="25"/>
  <c r="L149" i="25"/>
  <c r="M149" i="25"/>
  <c r="L150" i="25"/>
  <c r="M150" i="25"/>
  <c r="L151" i="25"/>
  <c r="M151" i="25"/>
  <c r="L152" i="25"/>
  <c r="M152" i="25"/>
  <c r="L153" i="25"/>
  <c r="M153" i="25"/>
  <c r="L154" i="25"/>
  <c r="M154" i="25"/>
  <c r="L155" i="25"/>
  <c r="M155" i="25"/>
  <c r="L156" i="25"/>
  <c r="M156" i="25"/>
  <c r="L157" i="25"/>
  <c r="M157" i="25"/>
  <c r="L158" i="25"/>
  <c r="M158" i="25"/>
  <c r="L159" i="25"/>
  <c r="M159" i="25"/>
  <c r="L160" i="25"/>
  <c r="M160" i="25"/>
  <c r="L161" i="25"/>
  <c r="M161" i="25"/>
  <c r="L162" i="25"/>
  <c r="M162" i="25"/>
  <c r="L163" i="25"/>
  <c r="M163" i="25"/>
  <c r="L164" i="25"/>
  <c r="M164" i="25"/>
  <c r="L165" i="25"/>
  <c r="M165" i="25"/>
  <c r="L166" i="25"/>
  <c r="M166" i="25"/>
  <c r="L167" i="25"/>
  <c r="M167" i="25"/>
  <c r="L168" i="25"/>
  <c r="M168" i="25"/>
  <c r="L169" i="25"/>
  <c r="M169" i="25"/>
  <c r="L170" i="25"/>
  <c r="M170" i="25"/>
  <c r="L171" i="25"/>
  <c r="M171" i="25"/>
  <c r="L172" i="25"/>
  <c r="M172" i="25"/>
  <c r="L173" i="25"/>
  <c r="M173" i="25"/>
  <c r="L174" i="25"/>
  <c r="M174" i="25"/>
  <c r="L175" i="25"/>
  <c r="M175" i="25"/>
  <c r="L176" i="25"/>
  <c r="M176" i="25"/>
  <c r="L177" i="25"/>
  <c r="M177" i="25"/>
  <c r="L178" i="25"/>
  <c r="M178" i="25"/>
  <c r="L179" i="25"/>
  <c r="M179" i="25"/>
  <c r="L180" i="25"/>
  <c r="M180" i="25"/>
  <c r="L181" i="25"/>
  <c r="M181" i="25"/>
  <c r="L182" i="25"/>
  <c r="M182" i="25"/>
  <c r="L183" i="25"/>
  <c r="M183" i="25"/>
  <c r="L184" i="25"/>
  <c r="M184" i="25"/>
  <c r="L185" i="25"/>
  <c r="M185" i="25"/>
  <c r="L186" i="25"/>
  <c r="M186" i="25"/>
  <c r="L187" i="25"/>
  <c r="M187" i="25"/>
  <c r="L188" i="25"/>
  <c r="M188" i="25"/>
  <c r="L189" i="25"/>
  <c r="M189" i="25"/>
  <c r="L190" i="25"/>
  <c r="M190" i="25"/>
  <c r="L191" i="25"/>
  <c r="M191" i="25"/>
  <c r="L192" i="25"/>
  <c r="M192" i="25"/>
  <c r="L193" i="25"/>
  <c r="M193" i="25"/>
  <c r="L194" i="25"/>
  <c r="M194" i="25"/>
  <c r="L195" i="25"/>
  <c r="M195" i="25"/>
  <c r="L196" i="25"/>
  <c r="M196" i="25"/>
  <c r="L197" i="25"/>
  <c r="M197" i="25"/>
  <c r="L198" i="25"/>
  <c r="M198" i="25"/>
  <c r="L199" i="25"/>
  <c r="M199" i="25"/>
  <c r="L200" i="25"/>
  <c r="M200" i="25"/>
  <c r="L201" i="25"/>
  <c r="M201" i="25"/>
  <c r="L202" i="25"/>
  <c r="M202" i="25"/>
  <c r="L203" i="25"/>
  <c r="M203" i="25"/>
  <c r="L204" i="25"/>
  <c r="M204" i="25"/>
  <c r="L205" i="25"/>
  <c r="M205" i="25"/>
  <c r="L206" i="25"/>
  <c r="M206" i="25"/>
  <c r="L207" i="25"/>
  <c r="M207" i="25"/>
  <c r="L208" i="25"/>
  <c r="M208" i="25"/>
  <c r="L209" i="25"/>
  <c r="M209" i="25"/>
  <c r="L210" i="25"/>
  <c r="M210" i="25"/>
  <c r="L211" i="25"/>
  <c r="M211" i="25"/>
  <c r="L212" i="25"/>
  <c r="M212" i="25"/>
  <c r="L213" i="25"/>
  <c r="M213" i="25"/>
  <c r="L214" i="25"/>
  <c r="M214" i="25"/>
  <c r="L215" i="25"/>
  <c r="M215" i="25"/>
  <c r="L216" i="25"/>
  <c r="M216" i="25"/>
  <c r="L217" i="25"/>
  <c r="M217" i="25"/>
  <c r="L218" i="25"/>
  <c r="M218" i="25"/>
  <c r="L219" i="25"/>
  <c r="M219" i="25"/>
  <c r="L220" i="25"/>
  <c r="M220" i="25"/>
  <c r="L221" i="25"/>
  <c r="M221" i="25"/>
  <c r="L222" i="25"/>
  <c r="M222" i="25"/>
  <c r="L223" i="25"/>
  <c r="M223" i="25"/>
  <c r="L224" i="25"/>
  <c r="M224" i="25"/>
  <c r="L225" i="25"/>
  <c r="M225" i="25"/>
  <c r="L226" i="25"/>
  <c r="M226" i="25"/>
  <c r="L227" i="25"/>
  <c r="M227" i="25"/>
  <c r="L228" i="25"/>
  <c r="M228" i="25"/>
  <c r="L229" i="25"/>
  <c r="M229" i="25"/>
  <c r="L230" i="25"/>
  <c r="M230" i="25"/>
  <c r="L231" i="25"/>
  <c r="M231" i="25"/>
  <c r="L232" i="25"/>
  <c r="M232" i="25"/>
  <c r="L233" i="25"/>
  <c r="M233" i="25"/>
  <c r="L234" i="25"/>
  <c r="M234" i="25"/>
  <c r="M2" i="25"/>
  <c r="L2" i="25"/>
  <c r="H39" i="22"/>
  <c r="I39" i="22"/>
  <c r="H40" i="22"/>
  <c r="I40" i="22"/>
  <c r="H41" i="22"/>
  <c r="I41" i="22"/>
  <c r="H42" i="22"/>
  <c r="I42" i="22"/>
  <c r="H43" i="22"/>
  <c r="I43" i="22"/>
  <c r="H44" i="22"/>
  <c r="I44" i="22"/>
  <c r="H45" i="22"/>
  <c r="I45" i="22"/>
  <c r="H46" i="22"/>
  <c r="I46" i="22"/>
  <c r="H47" i="22"/>
  <c r="I47" i="22"/>
  <c r="H48" i="22"/>
  <c r="I48" i="22"/>
  <c r="H49" i="22"/>
  <c r="I49" i="22"/>
  <c r="H50" i="22"/>
  <c r="I50" i="22"/>
  <c r="H51" i="22"/>
  <c r="I51" i="22"/>
  <c r="H52" i="22"/>
  <c r="I52" i="22"/>
  <c r="H53" i="22"/>
  <c r="I53" i="22"/>
  <c r="H54" i="22"/>
  <c r="I54" i="22"/>
  <c r="H55" i="22"/>
  <c r="I55" i="22"/>
  <c r="H56" i="22"/>
  <c r="I56" i="22"/>
  <c r="H57" i="22"/>
  <c r="I57" i="22"/>
  <c r="H58" i="22"/>
  <c r="I58" i="22"/>
  <c r="H59" i="22"/>
  <c r="I59" i="22"/>
  <c r="H60" i="22"/>
  <c r="I60" i="22"/>
  <c r="H61" i="22"/>
  <c r="I61" i="22"/>
  <c r="H62" i="22"/>
  <c r="I62" i="22"/>
  <c r="H63" i="22"/>
  <c r="I63" i="22"/>
  <c r="H64" i="22"/>
  <c r="I64" i="22"/>
  <c r="H65" i="22"/>
  <c r="I65" i="22"/>
  <c r="H66" i="22"/>
  <c r="I66" i="22"/>
  <c r="H67" i="22"/>
  <c r="I67" i="22"/>
  <c r="H68" i="22"/>
  <c r="I68" i="22"/>
  <c r="H69" i="22"/>
  <c r="I69" i="22"/>
  <c r="H70" i="22"/>
  <c r="I70" i="22"/>
  <c r="H71" i="22"/>
  <c r="I71" i="22"/>
  <c r="H72" i="22"/>
  <c r="I72" i="22"/>
  <c r="H73" i="22"/>
  <c r="I73" i="22"/>
  <c r="H74" i="22"/>
  <c r="I74" i="22"/>
  <c r="H75" i="22"/>
  <c r="I75" i="22"/>
  <c r="H76" i="22"/>
  <c r="I76" i="22"/>
  <c r="H77" i="22"/>
  <c r="I77" i="22"/>
  <c r="H78" i="22"/>
  <c r="I78" i="22"/>
  <c r="H79" i="22"/>
  <c r="I79" i="22"/>
  <c r="H80" i="22"/>
  <c r="I80" i="22"/>
  <c r="H81" i="22"/>
  <c r="I81" i="22"/>
  <c r="H82" i="22"/>
  <c r="I82" i="22"/>
  <c r="H83" i="22"/>
  <c r="I83" i="22"/>
  <c r="H84" i="22"/>
  <c r="I84" i="22"/>
  <c r="H85" i="22"/>
  <c r="I85" i="22"/>
  <c r="H86" i="22"/>
  <c r="I86" i="22"/>
  <c r="H87" i="22"/>
  <c r="I87" i="22"/>
  <c r="H88" i="22"/>
  <c r="I88" i="22"/>
  <c r="H89" i="22"/>
  <c r="I89" i="22"/>
  <c r="H90" i="22"/>
  <c r="I90" i="22"/>
  <c r="H91" i="22"/>
  <c r="I91" i="22"/>
  <c r="H92" i="22"/>
  <c r="I92" i="22"/>
  <c r="H93" i="22"/>
  <c r="I93" i="22"/>
  <c r="H94" i="22"/>
  <c r="I94" i="22"/>
  <c r="H95" i="22"/>
  <c r="I95" i="22"/>
  <c r="H96" i="22"/>
  <c r="I96" i="22"/>
  <c r="H97" i="22"/>
  <c r="I97" i="22"/>
  <c r="H98" i="22"/>
  <c r="I98" i="22"/>
  <c r="H99" i="22"/>
  <c r="I99" i="22"/>
  <c r="H100" i="22"/>
  <c r="I100" i="22"/>
  <c r="H101" i="22"/>
  <c r="I101" i="22"/>
  <c r="H102" i="22"/>
  <c r="I102" i="22"/>
  <c r="H103" i="22"/>
  <c r="I103" i="22"/>
  <c r="H104" i="22"/>
  <c r="I104" i="22"/>
  <c r="H105" i="22"/>
  <c r="I105" i="22"/>
  <c r="H106" i="22"/>
  <c r="I106" i="22"/>
  <c r="H107" i="22"/>
  <c r="I107" i="22"/>
  <c r="H108" i="22"/>
  <c r="I108" i="22"/>
  <c r="H109" i="22"/>
  <c r="I109" i="22"/>
  <c r="H110" i="22"/>
  <c r="I110" i="22"/>
  <c r="H111" i="22"/>
  <c r="I111" i="22"/>
  <c r="H112" i="22"/>
  <c r="I112" i="22"/>
  <c r="H113" i="22"/>
  <c r="I113" i="22"/>
  <c r="H114" i="22"/>
  <c r="I114" i="22"/>
  <c r="H115" i="22"/>
  <c r="I115" i="22"/>
  <c r="H116" i="22"/>
  <c r="I116" i="22"/>
  <c r="H117" i="22"/>
  <c r="I117" i="22"/>
  <c r="H118" i="22"/>
  <c r="I118" i="22"/>
  <c r="H119" i="22"/>
  <c r="I119" i="22"/>
  <c r="H120" i="22"/>
  <c r="I120" i="22"/>
  <c r="H121" i="22"/>
  <c r="I121" i="22"/>
  <c r="H122" i="22"/>
  <c r="I122" i="22"/>
  <c r="H123" i="22"/>
  <c r="I123" i="22"/>
  <c r="H124" i="22"/>
  <c r="I124" i="22"/>
  <c r="H125" i="22"/>
  <c r="I125" i="22"/>
  <c r="H126" i="22"/>
  <c r="I126" i="22"/>
  <c r="H127" i="22"/>
  <c r="I127" i="22"/>
  <c r="H128" i="22"/>
  <c r="I128" i="22"/>
  <c r="H129" i="22"/>
  <c r="I129" i="22"/>
  <c r="H130" i="22"/>
  <c r="I130" i="22"/>
  <c r="H131" i="22"/>
  <c r="I131" i="22"/>
  <c r="H132" i="22"/>
  <c r="I132" i="22"/>
  <c r="H133" i="22"/>
  <c r="I133" i="22"/>
  <c r="H134" i="22"/>
  <c r="I134" i="22"/>
  <c r="H135" i="22"/>
  <c r="I135" i="22"/>
  <c r="H136" i="22"/>
  <c r="I136" i="22"/>
  <c r="H137" i="22"/>
  <c r="I137" i="22"/>
  <c r="H138" i="22"/>
  <c r="I138" i="22"/>
  <c r="H139" i="22"/>
  <c r="I139" i="22"/>
  <c r="H140" i="22"/>
  <c r="I140" i="22"/>
  <c r="H141" i="22"/>
  <c r="I141" i="22"/>
  <c r="H142" i="22"/>
  <c r="I142" i="22"/>
  <c r="H143" i="22"/>
  <c r="I143" i="22"/>
  <c r="H144" i="22"/>
  <c r="I144" i="22"/>
  <c r="H145" i="22"/>
  <c r="I145" i="22"/>
  <c r="H146" i="22"/>
  <c r="I146" i="22"/>
  <c r="H147" i="22"/>
  <c r="I147" i="22"/>
  <c r="H148" i="22"/>
  <c r="I148" i="22"/>
  <c r="H149" i="22"/>
  <c r="I149" i="22"/>
  <c r="H150" i="22"/>
  <c r="I150" i="22"/>
  <c r="H151" i="22"/>
  <c r="I151" i="22"/>
  <c r="H152" i="22"/>
  <c r="I152" i="22"/>
  <c r="H153" i="22"/>
  <c r="I153" i="22"/>
  <c r="H154" i="22"/>
  <c r="I154" i="22"/>
  <c r="H155" i="22"/>
  <c r="I155" i="22"/>
  <c r="H156" i="22"/>
  <c r="I156" i="22"/>
  <c r="H157" i="22"/>
  <c r="I157" i="22"/>
  <c r="H158" i="22"/>
  <c r="I158" i="22"/>
  <c r="H159" i="22"/>
  <c r="I159" i="22"/>
  <c r="H160" i="22"/>
  <c r="I160" i="22"/>
  <c r="H161" i="22"/>
  <c r="I161" i="22"/>
  <c r="H162" i="22"/>
  <c r="I162" i="22"/>
  <c r="H163" i="22"/>
  <c r="I163" i="22"/>
  <c r="H4" i="22"/>
  <c r="I4" i="22"/>
  <c r="H5" i="22"/>
  <c r="I5" i="22"/>
  <c r="H6" i="22"/>
  <c r="I6" i="22"/>
  <c r="H7" i="22"/>
  <c r="I7" i="22"/>
  <c r="H8" i="22"/>
  <c r="I8" i="22"/>
  <c r="H9" i="22"/>
  <c r="I9" i="22"/>
  <c r="H10" i="22"/>
  <c r="I10" i="22"/>
  <c r="H11" i="22"/>
  <c r="I11" i="22"/>
  <c r="H12" i="22"/>
  <c r="I12" i="22"/>
  <c r="H13" i="22"/>
  <c r="I13" i="22"/>
  <c r="H14" i="22"/>
  <c r="I14" i="22"/>
  <c r="H15" i="22"/>
  <c r="I15" i="22"/>
  <c r="H16" i="22"/>
  <c r="I16" i="22"/>
  <c r="H17" i="22"/>
  <c r="I17" i="22"/>
  <c r="H18" i="22"/>
  <c r="I18" i="22"/>
  <c r="H19" i="22"/>
  <c r="I19" i="22"/>
  <c r="H20" i="22"/>
  <c r="I20" i="22"/>
  <c r="H21" i="22"/>
  <c r="I21" i="22"/>
  <c r="H22" i="22"/>
  <c r="I22" i="22"/>
  <c r="H23" i="22"/>
  <c r="I23" i="22"/>
  <c r="H24" i="22"/>
  <c r="I24" i="22"/>
  <c r="H25" i="22"/>
  <c r="I25" i="22"/>
  <c r="H26" i="22"/>
  <c r="I26" i="22"/>
  <c r="H27" i="22"/>
  <c r="I27" i="22"/>
  <c r="H28" i="22"/>
  <c r="I28" i="22"/>
  <c r="H29" i="22"/>
  <c r="I29" i="22"/>
  <c r="H30" i="22"/>
  <c r="I30" i="22"/>
  <c r="H31" i="22"/>
  <c r="I31" i="22"/>
  <c r="H32" i="22"/>
  <c r="I32" i="22"/>
  <c r="H33" i="22"/>
  <c r="I33" i="22"/>
  <c r="H34" i="22"/>
  <c r="I34" i="22"/>
  <c r="H35" i="22"/>
  <c r="I35" i="22"/>
  <c r="H36" i="22"/>
  <c r="I36" i="22"/>
  <c r="H37" i="22"/>
  <c r="I37" i="22"/>
  <c r="H38" i="22"/>
  <c r="I38" i="22"/>
  <c r="I2" i="22"/>
  <c r="H3" i="22"/>
  <c r="H2" i="22"/>
  <c r="I3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Vasyl Krupka | CSD</author>
  </authors>
  <commentList>
    <comment ref="A1" authorId="0" shapeId="0" xr:uid="{5715BE77-F8C8-2849-870F-816729FC24EA}">
      <text>
        <r>
          <rPr>
            <b/>
            <sz val="10"/>
            <color rgb="FF000000"/>
            <rFont val="Tahoma"/>
            <family val="2"/>
          </rPr>
          <t>Vasyl Krupka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https://www.worldometers.info/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Vasyl Krupka | CSD</author>
  </authors>
  <commentList>
    <comment ref="A1" authorId="0" shapeId="0" xr:uid="{1BB2029E-549E-2A40-B4A4-D2002C930281}">
      <text>
        <r>
          <rPr>
            <b/>
            <sz val="10"/>
            <color rgb="FF000000"/>
            <rFont val="Tahoma"/>
            <family val="2"/>
          </rPr>
          <t>Vasyl Krupka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https://www.worldometers.info/world-population/population-by-country/</t>
        </r>
      </text>
    </comment>
  </commentList>
</comments>
</file>

<file path=xl/sharedStrings.xml><?xml version="1.0" encoding="utf-8"?>
<sst xmlns="http://schemas.openxmlformats.org/spreadsheetml/2006/main" count="7178" uniqueCount="1591">
  <si>
    <t>#</t>
  </si>
  <si>
    <t>Country</t>
  </si>
  <si>
    <t>World Share</t>
  </si>
  <si>
    <t>Land Area (Km²)</t>
  </si>
  <si>
    <t>India</t>
  </si>
  <si>
    <t>China</t>
  </si>
  <si>
    <t>United States</t>
  </si>
  <si>
    <t>Indonesia</t>
  </si>
  <si>
    <t>Pakistan</t>
  </si>
  <si>
    <t>Nigeria</t>
  </si>
  <si>
    <t>Brazil</t>
  </si>
  <si>
    <t>Bangladesh</t>
  </si>
  <si>
    <t>Russia</t>
  </si>
  <si>
    <t>Ethiopia</t>
  </si>
  <si>
    <t>Mexico</t>
  </si>
  <si>
    <t>Japan</t>
  </si>
  <si>
    <t>Egypt</t>
  </si>
  <si>
    <t>Philippines</t>
  </si>
  <si>
    <t>DR Congo</t>
  </si>
  <si>
    <t>Vietnam</t>
  </si>
  <si>
    <t>Iran</t>
  </si>
  <si>
    <t>Turkey</t>
  </si>
  <si>
    <t>Germany</t>
  </si>
  <si>
    <t>Thailand</t>
  </si>
  <si>
    <t>Tanzania</t>
  </si>
  <si>
    <t>United Kingdom</t>
  </si>
  <si>
    <t>France</t>
  </si>
  <si>
    <t>South Africa</t>
  </si>
  <si>
    <t>Italy</t>
  </si>
  <si>
    <t>Kenya</t>
  </si>
  <si>
    <t>Myanmar</t>
  </si>
  <si>
    <t>Colombia</t>
  </si>
  <si>
    <t>South Korea</t>
  </si>
  <si>
    <t>Sudan</t>
  </si>
  <si>
    <t>Uganda</t>
  </si>
  <si>
    <t>Spain</t>
  </si>
  <si>
    <t>Algeria</t>
  </si>
  <si>
    <t>Iraq</t>
  </si>
  <si>
    <t>Argentina</t>
  </si>
  <si>
    <t>Afghanistan</t>
  </si>
  <si>
    <t>Yemen</t>
  </si>
  <si>
    <t>Canada</t>
  </si>
  <si>
    <t>Angola</t>
  </si>
  <si>
    <t>Ukraine</t>
  </si>
  <si>
    <t>Morocco</t>
  </si>
  <si>
    <t>Poland</t>
  </si>
  <si>
    <t>Uzbekistan</t>
  </si>
  <si>
    <t>Malaysia</t>
  </si>
  <si>
    <t>Mozambique</t>
  </si>
  <si>
    <t>Ghana</t>
  </si>
  <si>
    <t>Peru</t>
  </si>
  <si>
    <t>Saudi Arabia</t>
  </si>
  <si>
    <t>Madagascar</t>
  </si>
  <si>
    <t>Côte d'Ivoire</t>
  </si>
  <si>
    <t>Cameroon</t>
  </si>
  <si>
    <t>Nepal</t>
  </si>
  <si>
    <t>Venezuela</t>
  </si>
  <si>
    <t>Niger</t>
  </si>
  <si>
    <t>Australia</t>
  </si>
  <si>
    <t>North Korea</t>
  </si>
  <si>
    <t>Syria</t>
  </si>
  <si>
    <t>Mali</t>
  </si>
  <si>
    <t>Burkina Faso</t>
  </si>
  <si>
    <t>Sri Lanka</t>
  </si>
  <si>
    <t>Malawi</t>
  </si>
  <si>
    <t>Zambia</t>
  </si>
  <si>
    <t>Chad</t>
  </si>
  <si>
    <t>Kazakhstan</t>
  </si>
  <si>
    <t>Chile</t>
  </si>
  <si>
    <t>Somalia</t>
  </si>
  <si>
    <t>Senegal</t>
  </si>
  <si>
    <t>Romania</t>
  </si>
  <si>
    <t>Guatemala</t>
  </si>
  <si>
    <t>Netherlands</t>
  </si>
  <si>
    <t>Ecuador</t>
  </si>
  <si>
    <t>Cambodia</t>
  </si>
  <si>
    <t>Zimbabwe</t>
  </si>
  <si>
    <t>Guinea</t>
  </si>
  <si>
    <t>Benin</t>
  </si>
  <si>
    <t>Rwanda</t>
  </si>
  <si>
    <t>Burundi</t>
  </si>
  <si>
    <t>Bolivia</t>
  </si>
  <si>
    <t>Tunisia</t>
  </si>
  <si>
    <t>South Sudan</t>
  </si>
  <si>
    <t>Haiti</t>
  </si>
  <si>
    <t>Belgium</t>
  </si>
  <si>
    <t>Jordan</t>
  </si>
  <si>
    <t>Dominican Republic</t>
  </si>
  <si>
    <t>United Arab Emirates</t>
  </si>
  <si>
    <t>Honduras</t>
  </si>
  <si>
    <t>Cuba</t>
  </si>
  <si>
    <t>Tajikistan</t>
  </si>
  <si>
    <t>Papua New Guinea</t>
  </si>
  <si>
    <t>Sweden</t>
  </si>
  <si>
    <t>Czech Republic (Czechia)</t>
  </si>
  <si>
    <t>Portugal</t>
  </si>
  <si>
    <t>Azerbaijan</t>
  </si>
  <si>
    <t>Greece</t>
  </si>
  <si>
    <t>Togo</t>
  </si>
  <si>
    <t>Hungary</t>
  </si>
  <si>
    <t>Israel</t>
  </si>
  <si>
    <t>Austria</t>
  </si>
  <si>
    <t>Belarus</t>
  </si>
  <si>
    <t>Switzerland</t>
  </si>
  <si>
    <t>Sierra Leone</t>
  </si>
  <si>
    <t>Laos</t>
  </si>
  <si>
    <t>Turkmenistan</t>
  </si>
  <si>
    <t>Libya</t>
  </si>
  <si>
    <t>Kyrgyzstan</t>
  </si>
  <si>
    <t>Paraguay</t>
  </si>
  <si>
    <t>Nicaragua</t>
  </si>
  <si>
    <t>Bulgaria</t>
  </si>
  <si>
    <t>Serbia</t>
  </si>
  <si>
    <t>Congo</t>
  </si>
  <si>
    <t>El Salvador</t>
  </si>
  <si>
    <t>Denmark</t>
  </si>
  <si>
    <t>Singapore</t>
  </si>
  <si>
    <t>Lebanon</t>
  </si>
  <si>
    <t>Liberia</t>
  </si>
  <si>
    <t>Finland</t>
  </si>
  <si>
    <t>Norway</t>
  </si>
  <si>
    <t>State of Palestine</t>
  </si>
  <si>
    <t>Central African Republic</t>
  </si>
  <si>
    <t>Oman</t>
  </si>
  <si>
    <t>Slovakia</t>
  </si>
  <si>
    <t>Mauritania</t>
  </si>
  <si>
    <t>Ireland</t>
  </si>
  <si>
    <t>New Zealand</t>
  </si>
  <si>
    <t>Costa Rica</t>
  </si>
  <si>
    <t>Kuwait</t>
  </si>
  <si>
    <t>Panama</t>
  </si>
  <si>
    <t>Croatia</t>
  </si>
  <si>
    <t>Georgia</t>
  </si>
  <si>
    <t>Eritrea</t>
  </si>
  <si>
    <t>Mongolia</t>
  </si>
  <si>
    <t>Uruguay</t>
  </si>
  <si>
    <t>Bosnia and Herzegovina</t>
  </si>
  <si>
    <t>Qatar</t>
  </si>
  <si>
    <t>Namibia</t>
  </si>
  <si>
    <t>Moldova</t>
  </si>
  <si>
    <t>Armenia</t>
  </si>
  <si>
    <t>Jamaica</t>
  </si>
  <si>
    <t>Lithuania</t>
  </si>
  <si>
    <t>Gambia</t>
  </si>
  <si>
    <t>Albania</t>
  </si>
  <si>
    <t>Gabon</t>
  </si>
  <si>
    <t>Botswana</t>
  </si>
  <si>
    <t>Lesotho</t>
  </si>
  <si>
    <t>Guinea-Bissau</t>
  </si>
  <si>
    <t>Slovenia</t>
  </si>
  <si>
    <t>Equatorial Guinea</t>
  </si>
  <si>
    <t>Latvia</t>
  </si>
  <si>
    <t>North Macedonia</t>
  </si>
  <si>
    <t>Bahrain</t>
  </si>
  <si>
    <t>Trinidad and Tobago</t>
  </si>
  <si>
    <t>Timor-Leste</t>
  </si>
  <si>
    <t>Cyprus</t>
  </si>
  <si>
    <t>Estonia</t>
  </si>
  <si>
    <t>Mauritius</t>
  </si>
  <si>
    <t>Eswatini</t>
  </si>
  <si>
    <t>Djibouti</t>
  </si>
  <si>
    <t>Fiji</t>
  </si>
  <si>
    <t>Comoros</t>
  </si>
  <si>
    <t>Solomon Islands</t>
  </si>
  <si>
    <t>Guyana</t>
  </si>
  <si>
    <t>Bhutan</t>
  </si>
  <si>
    <t>Luxembourg</t>
  </si>
  <si>
    <t>Suriname</t>
  </si>
  <si>
    <t>Montenegro</t>
  </si>
  <si>
    <t>Malta</t>
  </si>
  <si>
    <t>Maldives</t>
  </si>
  <si>
    <t>Cabo Verde</t>
  </si>
  <si>
    <t>Brunei</t>
  </si>
  <si>
    <t>Belize</t>
  </si>
  <si>
    <t>Bahamas</t>
  </si>
  <si>
    <t>Iceland</t>
  </si>
  <si>
    <t>Vanuatu</t>
  </si>
  <si>
    <t>Barbados</t>
  </si>
  <si>
    <t>Sao Tome &amp; Principe</t>
  </si>
  <si>
    <t>Samoa</t>
  </si>
  <si>
    <t>Saint Lucia</t>
  </si>
  <si>
    <t>Kiribati</t>
  </si>
  <si>
    <t>Seychelles</t>
  </si>
  <si>
    <t>Grenada</t>
  </si>
  <si>
    <t>Micronesia</t>
  </si>
  <si>
    <t>Tonga</t>
  </si>
  <si>
    <t>St. Vincent &amp; Grenadines</t>
  </si>
  <si>
    <t>Antigua and Barbuda</t>
  </si>
  <si>
    <t>Andorra</t>
  </si>
  <si>
    <t>Dominica</t>
  </si>
  <si>
    <t>Saint Kitts &amp; Nevis</t>
  </si>
  <si>
    <t>Liechtenstein</t>
  </si>
  <si>
    <t>Monaco</t>
  </si>
  <si>
    <t>Marshall Islands</t>
  </si>
  <si>
    <t>San Marino</t>
  </si>
  <si>
    <t>Palau</t>
  </si>
  <si>
    <t>Nauru</t>
  </si>
  <si>
    <t>Tuvalu</t>
  </si>
  <si>
    <t>Holy See</t>
  </si>
  <si>
    <t>−495,753</t>
  </si>
  <si>
    <t>−0.23%</t>
  </si>
  <si>
    <t>−3,225,184</t>
  </si>
  <si>
    <t>−268,126</t>
  </si>
  <si>
    <t>−39,509</t>
  </si>
  <si>
    <t>−1,235,336</t>
  </si>
  <si>
    <t>−15,258</t>
  </si>
  <si>
    <t>−217,283</t>
  </si>
  <si>
    <t>−402,100</t>
  </si>
  <si>
    <t>−0.57%</t>
  </si>
  <si>
    <t>−823,030</t>
  </si>
  <si>
    <t>−251,822</t>
  </si>
  <si>
    <t>−108,037</t>
  </si>
  <si>
    <t>−0.52%</t>
  </si>
  <si>
    <t>−649,562</t>
  </si>
  <si>
    <t>−57,305</t>
  </si>
  <si>
    <t>−149,315</t>
  </si>
  <si>
    <t>−27,309</t>
  </si>
  <si>
    <t>−48,171</t>
  </si>
  <si>
    <t>−258,205</t>
  </si>
  <si>
    <t>−0.56%</t>
  </si>
  <si>
    <t>−477,167</t>
  </si>
  <si>
    <t>−334,072</t>
  </si>
  <si>
    <t>−0.07%</t>
  </si>
  <si>
    <t>−48,148</t>
  </si>
  <si>
    <t>−12,730</t>
  </si>
  <si>
    <t>−0.33%</t>
  </si>
  <si>
    <t>−196,607</t>
  </si>
  <si>
    <t>−27,330</t>
  </si>
  <si>
    <t>−39,661</t>
  </si>
  <si>
    <t>−0.1%</t>
  </si>
  <si>
    <t>−50,561</t>
  </si>
  <si>
    <t>−119,059</t>
  </si>
  <si>
    <t>−0.04%</t>
  </si>
  <si>
    <t>−20,568</t>
  </si>
  <si>
    <t>−27,531</t>
  </si>
  <si>
    <t>−1,064</t>
  </si>
  <si>
    <t>−74,404</t>
  </si>
  <si>
    <t>−16,291</t>
  </si>
  <si>
    <t>−3,524</t>
  </si>
  <si>
    <t>−56,254</t>
  </si>
  <si>
    <t>−1.03%</t>
  </si>
  <si>
    <t>−398,291</t>
  </si>
  <si>
    <t>−330,820</t>
  </si>
  <si>
    <t>−6,987</t>
  </si>
  <si>
    <t>−65,573</t>
  </si>
  <si>
    <t>−17,079</t>
  </si>
  <si>
    <t>−2,227</t>
  </si>
  <si>
    <t>−15,379</t>
  </si>
  <si>
    <t>−0.11%</t>
  </si>
  <si>
    <t>−32,936</t>
  </si>
  <si>
    <t>−364,699</t>
  </si>
  <si>
    <t>−100,467</t>
  </si>
  <si>
    <t>−7,704</t>
  </si>
  <si>
    <t>−2,787</t>
  </si>
  <si>
    <t>−48,019</t>
  </si>
  <si>
    <t>−27,130</t>
  </si>
  <si>
    <t>−30,724</t>
  </si>
  <si>
    <t>Taiwan</t>
  </si>
  <si>
    <t>−0.44%</t>
  </si>
  <si>
    <t>−101,169</t>
  </si>
  <si>
    <t>−20,947</t>
  </si>
  <si>
    <t>−5,628</t>
  </si>
  <si>
    <t>−123,104</t>
  </si>
  <si>
    <t>−8,834</t>
  </si>
  <si>
    <t>−12,636</t>
  </si>
  <si>
    <t>−106,438</t>
  </si>
  <si>
    <t>−29,041</t>
  </si>
  <si>
    <t>−7,959</t>
  </si>
  <si>
    <t>−17,219</t>
  </si>
  <si>
    <t>−31,469</t>
  </si>
  <si>
    <t>−54,555</t>
  </si>
  <si>
    <t>−16,282</t>
  </si>
  <si>
    <t>−7,847</t>
  </si>
  <si>
    <t>−34,727</t>
  </si>
  <si>
    <t>−3,179</t>
  </si>
  <si>
    <t>−14,523</t>
  </si>
  <si>
    <t>−32,052</t>
  </si>
  <si>
    <t>−0.28%</t>
  </si>
  <si>
    <t>−32,192</t>
  </si>
  <si>
    <t>−303,267</t>
  </si>
  <si>
    <t>−35,306</t>
  </si>
  <si>
    <t>−4,778</t>
  </si>
  <si>
    <t>−0.39%</t>
  </si>
  <si>
    <t>−42,580</t>
  </si>
  <si>
    <t>−22,244</t>
  </si>
  <si>
    <t>−21,606</t>
  </si>
  <si>
    <t>−284</t>
  </si>
  <si>
    <t>−1.18%</t>
  </si>
  <si>
    <t>−126,620</t>
  </si>
  <si>
    <t>−112,188</t>
  </si>
  <si>
    <t>−0.13%</t>
  </si>
  <si>
    <t>−13,458</t>
  </si>
  <si>
    <t>−1.08%</t>
  </si>
  <si>
    <t>−108,973</t>
  </si>
  <si>
    <t>−15,010</t>
  </si>
  <si>
    <t>−0.45%</t>
  </si>
  <si>
    <t>−43,848</t>
  </si>
  <si>
    <t>−16,331</t>
  </si>
  <si>
    <t>−0.08%</t>
  </si>
  <si>
    <t>−7,239</t>
  </si>
  <si>
    <t>−0.65%</t>
  </si>
  <si>
    <t>−59,093</t>
  </si>
  <si>
    <t>−3,020</t>
  </si>
  <si>
    <t>−11,309</t>
  </si>
  <si>
    <t>−10,645</t>
  </si>
  <si>
    <t>−172</t>
  </si>
  <si>
    <t>Hong Kong</t>
  </si>
  <si>
    <t>−0.25%</t>
  </si>
  <si>
    <t>−18,833</t>
  </si>
  <si>
    <t>−12,423</t>
  </si>
  <si>
    <t>−8,371</t>
  </si>
  <si>
    <t>−0.64%</t>
  </si>
  <si>
    <t>−43,129</t>
  </si>
  <si>
    <t>−2,961</t>
  </si>
  <si>
    <t>−0.7%</t>
  </si>
  <si>
    <t>−47,177</t>
  </si>
  <si>
    <t>−13,086</t>
  </si>
  <si>
    <t>−2,999</t>
  </si>
  <si>
    <t>−23,934</t>
  </si>
  <si>
    <t>−10,230</t>
  </si>
  <si>
    <t>−9,870</t>
  </si>
  <si>
    <t>−23,156</t>
  </si>
  <si>
    <t>−14,693</t>
  </si>
  <si>
    <t>−0.58%</t>
  </si>
  <si>
    <t>−31,879</t>
  </si>
  <si>
    <t>−31,377</t>
  </si>
  <si>
    <t>−5,044</t>
  </si>
  <si>
    <t>−27,165</t>
  </si>
  <si>
    <t>−3,481</t>
  </si>
  <si>
    <t>−0.03%</t>
  </si>
  <si>
    <t>−999</t>
  </si>
  <si>
    <t>−6,698</t>
  </si>
  <si>
    <t>−0.06%</t>
  </si>
  <si>
    <t>−1,900</t>
  </si>
  <si>
    <t>−1,338</t>
  </si>
  <si>
    <t>Puerto Rico</t>
  </si>
  <si>
    <t>−0.21%</t>
  </si>
  <si>
    <t>−6,915</t>
  </si>
  <si>
    <t>−0.76%</t>
  </si>
  <si>
    <t>−24,158</t>
  </si>
  <si>
    <t>−6,994</t>
  </si>
  <si>
    <t>−1.28%</t>
  </si>
  <si>
    <t>−38,855</t>
  </si>
  <si>
    <t>−29,766</t>
  </si>
  <si>
    <t>−0.72%</t>
  </si>
  <si>
    <t>−21,475</t>
  </si>
  <si>
    <t>−29,013</t>
  </si>
  <si>
    <t>−2,098</t>
  </si>
  <si>
    <t>−11,053</t>
  </si>
  <si>
    <t>−1.01%</t>
  </si>
  <si>
    <t>−28,966</t>
  </si>
  <si>
    <t>−24,618</t>
  </si>
  <si>
    <t>−2,984</t>
  </si>
  <si>
    <t>−0.73%</t>
  </si>
  <si>
    <t>−20,257</t>
  </si>
  <si>
    <t>−24,230</t>
  </si>
  <si>
    <t>−5,665</t>
  </si>
  <si>
    <t>−5,192</t>
  </si>
  <si>
    <t>−1,373</t>
  </si>
  <si>
    <t>−1,625</t>
  </si>
  <si>
    <t>−0.98%</t>
  </si>
  <si>
    <t>−18,312</t>
  </si>
  <si>
    <t>−7,330</t>
  </si>
  <si>
    <t>−0.51%</t>
  </si>
  <si>
    <t>−9,218</t>
  </si>
  <si>
    <t>−5,645</t>
  </si>
  <si>
    <t>−2,550</t>
  </si>
  <si>
    <t>−1.2%</t>
  </si>
  <si>
    <t>−16,314</t>
  </si>
  <si>
    <t>−13,350</t>
  </si>
  <si>
    <t>−2,889</t>
  </si>
  <si>
    <t>−2,784</t>
  </si>
  <si>
    <t>−5,775</t>
  </si>
  <si>
    <t>−581</t>
  </si>
  <si>
    <t>−3,288</t>
  </si>
  <si>
    <t>−2,127</t>
  </si>
  <si>
    <t>Réunion</t>
  </si>
  <si>
    <t>−2,585</t>
  </si>
  <si>
    <t>−5,092</t>
  </si>
  <si>
    <t>Macao</t>
  </si>
  <si>
    <t>−328</t>
  </si>
  <si>
    <t>−967</t>
  </si>
  <si>
    <t>−0.9%</t>
  </si>
  <si>
    <t>−5,750</t>
  </si>
  <si>
    <t>−9,279</t>
  </si>
  <si>
    <t>Western Sahara</t>
  </si>
  <si>
    <t>−2,283</t>
  </si>
  <si>
    <t>−1,284</t>
  </si>
  <si>
    <t>Guadeloupe</t>
  </si>
  <si>
    <t>−0.35%</t>
  </si>
  <si>
    <t>−1,315</t>
  </si>
  <si>
    <t>−1,587</t>
  </si>
  <si>
    <t>Martinique</t>
  </si>
  <si>
    <t>−0.8%</t>
  </si>
  <si>
    <t>−2,756</t>
  </si>
  <si>
    <t>−2,491</t>
  </si>
  <si>
    <t>Mayotte</t>
  </si>
  <si>
    <t>−52</t>
  </si>
  <si>
    <t>French Guiana</t>
  </si>
  <si>
    <t>−909</t>
  </si>
  <si>
    <t>New Caledonia</t>
  </si>
  <si>
    <t>−87</t>
  </si>
  <si>
    <t>French Polynesia</t>
  </si>
  <si>
    <t>−1,199</t>
  </si>
  <si>
    <t>−650</t>
  </si>
  <si>
    <t>−2,815</t>
  </si>
  <si>
    <t>Curaçao</t>
  </si>
  <si>
    <t>−23</t>
  </si>
  <si>
    <t>Guam</t>
  </si>
  <si>
    <t>−493</t>
  </si>
  <si>
    <t>−462</t>
  </si>
  <si>
    <t>−185</t>
  </si>
  <si>
    <t>−1,125</t>
  </si>
  <si>
    <t>Aruba</t>
  </si>
  <si>
    <t>−0.42%</t>
  </si>
  <si>
    <t>−433</t>
  </si>
  <si>
    <t>−2,150</t>
  </si>
  <si>
    <t>−0.69%</t>
  </si>
  <si>
    <t>−692</t>
  </si>
  <si>
    <t>−714</t>
  </si>
  <si>
    <t>U.S. Virgin Islands</t>
  </si>
  <si>
    <t>−767</t>
  </si>
  <si>
    <t>−357</t>
  </si>
  <si>
    <t>Isle of Man</t>
  </si>
  <si>
    <t>−0.05%</t>
  </si>
  <si>
    <t>−42</t>
  </si>
  <si>
    <t>Cayman Islands</t>
  </si>
  <si>
    <t>−0.5%</t>
  </si>
  <si>
    <t>−334</t>
  </si>
  <si>
    <t>−242</t>
  </si>
  <si>
    <t>Bermuda</t>
  </si>
  <si>
    <t>−81</t>
  </si>
  <si>
    <t>−2</t>
  </si>
  <si>
    <t>Faeroe Islands</t>
  </si>
  <si>
    <t>Greenland</t>
  </si>
  <si>
    <t>−0.17%</t>
  </si>
  <si>
    <t>−95</t>
  </si>
  <si>
    <t>−265</t>
  </si>
  <si>
    <t>Turks and Caicos</t>
  </si>
  <si>
    <t>American Samoa</t>
  </si>
  <si>
    <t>−1.57%</t>
  </si>
  <si>
    <t>−736</t>
  </si>
  <si>
    <t>−1,051</t>
  </si>
  <si>
    <t>Sint Maarten</t>
  </si>
  <si>
    <t>Northern Mariana Islands</t>
  </si>
  <si>
    <t>−1.66%</t>
  </si>
  <si>
    <t>−737</t>
  </si>
  <si>
    <t>−963</t>
  </si>
  <si>
    <t>Gibraltar</t>
  </si>
  <si>
    <t>British Virgin Islands</t>
  </si>
  <si>
    <t>−0.75%</t>
  </si>
  <si>
    <t>−290</t>
  </si>
  <si>
    <t>−3.37%</t>
  </si>
  <si>
    <t>−1,266</t>
  </si>
  <si>
    <t>−1,698</t>
  </si>
  <si>
    <t>−9</t>
  </si>
  <si>
    <t>Caribbean Netherlands</t>
  </si>
  <si>
    <t>−0.18%</t>
  </si>
  <si>
    <t>−32</t>
  </si>
  <si>
    <t>−16</t>
  </si>
  <si>
    <t>Anguilla</t>
  </si>
  <si>
    <t>Cook Islands</t>
  </si>
  <si>
    <t>−3.39%</t>
  </si>
  <si>
    <t>−466</t>
  </si>
  <si>
    <t>−460</t>
  </si>
  <si>
    <t>−122</t>
  </si>
  <si>
    <t>Saint Barthelemy</t>
  </si>
  <si>
    <t>Wallis &amp; Futuna</t>
  </si>
  <si>
    <t>−0.74%</t>
  </si>
  <si>
    <t>−83</t>
  </si>
  <si>
    <t>−1.6%</t>
  </si>
  <si>
    <t>−154</t>
  </si>
  <si>
    <t>−255</t>
  </si>
  <si>
    <t>Saint Pierre &amp; Miquelon</t>
  </si>
  <si>
    <t>−0.96%</t>
  </si>
  <si>
    <t>−54</t>
  </si>
  <si>
    <t>−8</t>
  </si>
  <si>
    <t>Saint Helena</t>
  </si>
  <si>
    <t>−40</t>
  </si>
  <si>
    <t>Montserrat</t>
  </si>
  <si>
    <t>−0.68%</t>
  </si>
  <si>
    <t>−30</t>
  </si>
  <si>
    <t>Falkland Islands</t>
  </si>
  <si>
    <t>−1</t>
  </si>
  <si>
    <t>−17</t>
  </si>
  <si>
    <t>Tokelau</t>
  </si>
  <si>
    <t>Niue</t>
  </si>
  <si>
    <t>Population -2025</t>
  </si>
  <si>
    <t>Yearly Change</t>
  </si>
  <si>
    <t>Net Change</t>
  </si>
  <si>
    <t>Density (P/Km²)</t>
  </si>
  <si>
    <t>Migrants (net)</t>
  </si>
  <si>
    <t>Fert. Rate</t>
  </si>
  <si>
    <t>Median Age</t>
  </si>
  <si>
    <t>Urban Pop %</t>
  </si>
  <si>
    <t>🇮🇳</t>
  </si>
  <si>
    <t>🇨🇳</t>
  </si>
  <si>
    <t>🇺🇸</t>
  </si>
  <si>
    <t>🇮🇩</t>
  </si>
  <si>
    <t>🇵🇰</t>
  </si>
  <si>
    <t>🇳🇬</t>
  </si>
  <si>
    <t>🇧🇷</t>
  </si>
  <si>
    <t>🇧🇩</t>
  </si>
  <si>
    <t>🇷🇺</t>
  </si>
  <si>
    <t>🇪🇹</t>
  </si>
  <si>
    <t>🇲🇽</t>
  </si>
  <si>
    <t>🇯🇵</t>
  </si>
  <si>
    <t>🇪🇬</t>
  </si>
  <si>
    <t>🇵🇭</t>
  </si>
  <si>
    <t>🇨🇩</t>
  </si>
  <si>
    <t>🇻🇳</t>
  </si>
  <si>
    <t>🇮🇷</t>
  </si>
  <si>
    <t>🇹🇷</t>
  </si>
  <si>
    <t>🇩🇪</t>
  </si>
  <si>
    <t>🇹🇭</t>
  </si>
  <si>
    <t>🇹🇿</t>
  </si>
  <si>
    <t>🇬🇧</t>
  </si>
  <si>
    <t>🇦🇪</t>
  </si>
  <si>
    <t>🇺🇾</t>
  </si>
  <si>
    <t>🇫🇷</t>
  </si>
  <si>
    <t>🇿🇦</t>
  </si>
  <si>
    <t>🇮🇹</t>
  </si>
  <si>
    <t>🇰🇪</t>
  </si>
  <si>
    <t>🇨🇴</t>
  </si>
  <si>
    <t>🇰🇷</t>
  </si>
  <si>
    <t>🇰🇵</t>
  </si>
  <si>
    <t>🇸🇩</t>
  </si>
  <si>
    <t>🇺🇬</t>
  </si>
  <si>
    <t>🇪🇸</t>
  </si>
  <si>
    <t>🇩🇿</t>
  </si>
  <si>
    <t>🇮🇶</t>
  </si>
  <si>
    <t>🇦🇷</t>
  </si>
  <si>
    <t>🇦🇫</t>
  </si>
  <si>
    <t>🇾🇪</t>
  </si>
  <si>
    <t>🇨🇦</t>
  </si>
  <si>
    <t>🇦🇴</t>
  </si>
  <si>
    <t>🇺🇦</t>
  </si>
  <si>
    <t>🇲🇦</t>
  </si>
  <si>
    <t>🇵🇱</t>
  </si>
  <si>
    <t>🇺🇿</t>
  </si>
  <si>
    <t>🇲🇾</t>
  </si>
  <si>
    <t>🇲🇼</t>
  </si>
  <si>
    <t>🇲🇬</t>
  </si>
  <si>
    <t>🇲🇱</t>
  </si>
  <si>
    <t>🇲🇹</t>
  </si>
  <si>
    <t>🇲🇻</t>
  </si>
  <si>
    <t>🇲🇷</t>
  </si>
  <si>
    <t>🇲🇺</t>
  </si>
  <si>
    <t>🇲🇿</t>
  </si>
  <si>
    <t>🇬🇭</t>
  </si>
  <si>
    <t>🇵🇪</t>
  </si>
  <si>
    <t>🇸🇦</t>
  </si>
  <si>
    <t>🇨🇮</t>
  </si>
  <si>
    <t>🇨🇲</t>
  </si>
  <si>
    <t>🇳🇵</t>
  </si>
  <si>
    <t>🇻🇪</t>
  </si>
  <si>
    <t>🇳🇪</t>
  </si>
  <si>
    <t>🇦🇹</t>
  </si>
  <si>
    <t>🇸🇾</t>
  </si>
  <si>
    <t>🇧🇫</t>
  </si>
  <si>
    <t>🇱🇰</t>
  </si>
  <si>
    <t>🇿🇲</t>
  </si>
  <si>
    <t>🇹🇩</t>
  </si>
  <si>
    <t>🇰🇿</t>
  </si>
  <si>
    <t>🇨🇱</t>
  </si>
  <si>
    <t>🇸🇴</t>
  </si>
  <si>
    <t>🇸🇳</t>
  </si>
  <si>
    <t>🇷🇴</t>
  </si>
  <si>
    <t>🇬🇹</t>
  </si>
  <si>
    <t>🇳🇱</t>
  </si>
  <si>
    <t>🇪🇨</t>
  </si>
  <si>
    <t>🇰🇭</t>
  </si>
  <si>
    <t>🇿🇼</t>
  </si>
  <si>
    <t>🇬🇫</t>
  </si>
  <si>
    <t>🇧🇯</t>
  </si>
  <si>
    <t>🇷🇼</t>
  </si>
  <si>
    <t>🇧🇮</t>
  </si>
  <si>
    <t>🇧🇴</t>
  </si>
  <si>
    <t>🇹🇳</t>
  </si>
  <si>
    <t>🇸🇸</t>
  </si>
  <si>
    <t>🇭🇹</t>
  </si>
  <si>
    <t>🇧🇪</t>
  </si>
  <si>
    <t>🇯🇴</t>
  </si>
  <si>
    <t>🇩🇴</t>
  </si>
  <si>
    <t>🇩🇲</t>
  </si>
  <si>
    <t>🇭🇳</t>
  </si>
  <si>
    <t>🇨🇺</t>
  </si>
  <si>
    <t>🇹🇯</t>
  </si>
  <si>
    <t>🇵🇬</t>
  </si>
  <si>
    <t>🇸🇪</t>
  </si>
  <si>
    <t>🇨🇿</t>
  </si>
  <si>
    <t>🇵🇹</t>
  </si>
  <si>
    <t>🇦🇿</t>
  </si>
  <si>
    <t>🇬🇷</t>
  </si>
  <si>
    <t>🇹🇬</t>
  </si>
  <si>
    <t>🇭🇺</t>
  </si>
  <si>
    <t>🇮🇱</t>
  </si>
  <si>
    <t>🇦🇺</t>
  </si>
  <si>
    <t>🇧🇾</t>
  </si>
  <si>
    <t>🇨🇭</t>
  </si>
  <si>
    <t>🇸🇱</t>
  </si>
  <si>
    <t>🇱🇦</t>
  </si>
  <si>
    <t>Western Africa</t>
  </si>
  <si>
    <t>Eastern Africa</t>
  </si>
  <si>
    <t>Northern Africa</t>
  </si>
  <si>
    <t>Middle Africa</t>
  </si>
  <si>
    <t>Southern Africa</t>
  </si>
  <si>
    <t>Southern Asia</t>
  </si>
  <si>
    <t>Eastern Asia</t>
  </si>
  <si>
    <t>South-Eastern Asia</t>
  </si>
  <si>
    <t>Western Asia</t>
  </si>
  <si>
    <t>Central Asia</t>
  </si>
  <si>
    <t>South-Eastern Asi</t>
  </si>
  <si>
    <t>Eastern Europe</t>
  </si>
  <si>
    <t>Western Europe</t>
  </si>
  <si>
    <t>Northern Europe</t>
  </si>
  <si>
    <t>Southern Europe</t>
  </si>
  <si>
    <t>South America</t>
  </si>
  <si>
    <t>Central America</t>
  </si>
  <si>
    <t>Caribbean</t>
  </si>
  <si>
    <t>Australia and New Zealand</t>
  </si>
  <si>
    <t>Melanesia</t>
  </si>
  <si>
    <t>Polynesia</t>
  </si>
  <si>
    <t>Northern America</t>
  </si>
  <si>
    <t>Asia</t>
  </si>
  <si>
    <t>America</t>
  </si>
  <si>
    <t>Europe</t>
  </si>
  <si>
    <t>Africa</t>
  </si>
  <si>
    <t>Oceania</t>
  </si>
  <si>
    <t>Yearly Water Used (m³, thousand of litres)</t>
  </si>
  <si>
    <t>Daily Water Used Per Capita (litres)</t>
  </si>
  <si>
    <t>Kabul</t>
  </si>
  <si>
    <t>Algiers</t>
  </si>
  <si>
    <t>Andorra la Vella</t>
  </si>
  <si>
    <t>Luanda</t>
  </si>
  <si>
    <t>Saint John's</t>
  </si>
  <si>
    <t>Buenos Aires</t>
  </si>
  <si>
    <t>Yerevan</t>
  </si>
  <si>
    <t>Canberra</t>
  </si>
  <si>
    <t>Vienna</t>
  </si>
  <si>
    <t>Baku</t>
  </si>
  <si>
    <t>Nassau</t>
  </si>
  <si>
    <t>Manama</t>
  </si>
  <si>
    <t>Dhaka</t>
  </si>
  <si>
    <t>Bridgetown</t>
  </si>
  <si>
    <t>Minsk</t>
  </si>
  <si>
    <t>Brussels</t>
  </si>
  <si>
    <t>Belmopan</t>
  </si>
  <si>
    <t>Thimphu</t>
  </si>
  <si>
    <t>Sarajevo</t>
  </si>
  <si>
    <t>Gaborone</t>
  </si>
  <si>
    <t>Brasilia</t>
  </si>
  <si>
    <t>Bandar Seri Begawan</t>
  </si>
  <si>
    <t>Sofia</t>
  </si>
  <si>
    <t>Ouagadougou</t>
  </si>
  <si>
    <t>Phnom Penh</t>
  </si>
  <si>
    <t>Yaounde</t>
  </si>
  <si>
    <t>Ottawa</t>
  </si>
  <si>
    <t>Praia</t>
  </si>
  <si>
    <t>Bangui</t>
  </si>
  <si>
    <t>N'Djamena</t>
  </si>
  <si>
    <t>Santiago</t>
  </si>
  <si>
    <t>Beijing</t>
  </si>
  <si>
    <t>Bogota</t>
  </si>
  <si>
    <t>Moroni</t>
  </si>
  <si>
    <t>Kinshasa</t>
  </si>
  <si>
    <t>Brazzaville</t>
  </si>
  <si>
    <t>San Jose</t>
  </si>
  <si>
    <t>Zagreb</t>
  </si>
  <si>
    <t>Havana</t>
  </si>
  <si>
    <t>Nicosia</t>
  </si>
  <si>
    <t>Prague</t>
  </si>
  <si>
    <t>Copenhagen</t>
  </si>
  <si>
    <t>Roseau</t>
  </si>
  <si>
    <t>Santo Domingo</t>
  </si>
  <si>
    <t>Dili</t>
  </si>
  <si>
    <t>Quito</t>
  </si>
  <si>
    <t>Cairo</t>
  </si>
  <si>
    <t>San Salvador</t>
  </si>
  <si>
    <t>London</t>
  </si>
  <si>
    <t>Malabo</t>
  </si>
  <si>
    <t>Asmara</t>
  </si>
  <si>
    <t>Tallinn</t>
  </si>
  <si>
    <t>Addis Ababa</t>
  </si>
  <si>
    <t>Palikir</t>
  </si>
  <si>
    <t>Suva</t>
  </si>
  <si>
    <t>Helsinki</t>
  </si>
  <si>
    <t>Paris</t>
  </si>
  <si>
    <t>Libreville</t>
  </si>
  <si>
    <t>Banjul</t>
  </si>
  <si>
    <t>Tbilisi</t>
  </si>
  <si>
    <t>Berlin</t>
  </si>
  <si>
    <t>Accra</t>
  </si>
  <si>
    <t>Athens</t>
  </si>
  <si>
    <t>Saint George's</t>
  </si>
  <si>
    <t>Guatemala City</t>
  </si>
  <si>
    <t>Conakry</t>
  </si>
  <si>
    <t>Bissau</t>
  </si>
  <si>
    <t>Georgetown</t>
  </si>
  <si>
    <t>Port au Prince</t>
  </si>
  <si>
    <t>Tegucigalpa</t>
  </si>
  <si>
    <t>Budapest</t>
  </si>
  <si>
    <t>Reykjavik</t>
  </si>
  <si>
    <t>New Delhi</t>
  </si>
  <si>
    <t>Jakarta[9]</t>
  </si>
  <si>
    <t>Tehran</t>
  </si>
  <si>
    <t>Baghdad</t>
  </si>
  <si>
    <t>Dublin</t>
  </si>
  <si>
    <t>Rome</t>
  </si>
  <si>
    <t>Kingston</t>
  </si>
  <si>
    <t>Tokyo</t>
  </si>
  <si>
    <t>Amman</t>
  </si>
  <si>
    <t>Nairobi</t>
  </si>
  <si>
    <t>Tarawa Atoll</t>
  </si>
  <si>
    <t>Bishkek</t>
  </si>
  <si>
    <t>Vientiane</t>
  </si>
  <si>
    <t>Riga</t>
  </si>
  <si>
    <t>Beirut</t>
  </si>
  <si>
    <t>Maseru</t>
  </si>
  <si>
    <t>Monrovia</t>
  </si>
  <si>
    <t>Tripoli</t>
  </si>
  <si>
    <t>Vaduz</t>
  </si>
  <si>
    <t>Vilnius</t>
  </si>
  <si>
    <t>Antananarivo</t>
  </si>
  <si>
    <t>Lilongwe</t>
  </si>
  <si>
    <t>Male</t>
  </si>
  <si>
    <t>Bamako</t>
  </si>
  <si>
    <t>Valletta</t>
  </si>
  <si>
    <t>Majuro</t>
  </si>
  <si>
    <t>Nouakchott</t>
  </si>
  <si>
    <t>Port Louis</t>
  </si>
  <si>
    <t>Mexico City</t>
  </si>
  <si>
    <t>Chisinau</t>
  </si>
  <si>
    <t>Ulaanbaatar</t>
  </si>
  <si>
    <t>Podgorica</t>
  </si>
  <si>
    <t>Rabat</t>
  </si>
  <si>
    <t>Maputo</t>
  </si>
  <si>
    <t>Windhoek</t>
  </si>
  <si>
    <t>No official capital</t>
  </si>
  <si>
    <t>Kathmandu</t>
  </si>
  <si>
    <t>Wellington</t>
  </si>
  <si>
    <t>Managua</t>
  </si>
  <si>
    <t>Niamey</t>
  </si>
  <si>
    <t>Abuja</t>
  </si>
  <si>
    <t>Pyongyang</t>
  </si>
  <si>
    <t>Skopje</t>
  </si>
  <si>
    <t>Oslo</t>
  </si>
  <si>
    <t>Muscat</t>
  </si>
  <si>
    <t>Islamabad</t>
  </si>
  <si>
    <t>Melekeok</t>
  </si>
  <si>
    <t>Port Moresby</t>
  </si>
  <si>
    <t>Asuncion</t>
  </si>
  <si>
    <t>Lima</t>
  </si>
  <si>
    <t>Manila</t>
  </si>
  <si>
    <t>Warsaw</t>
  </si>
  <si>
    <t>Lisbon</t>
  </si>
  <si>
    <t>Doha</t>
  </si>
  <si>
    <t>Bucharest</t>
  </si>
  <si>
    <t>Moscow</t>
  </si>
  <si>
    <t>Kigali</t>
  </si>
  <si>
    <t>Basseterre</t>
  </si>
  <si>
    <t>Castries</t>
  </si>
  <si>
    <t>Kingstown</t>
  </si>
  <si>
    <t>Apia</t>
  </si>
  <si>
    <t>Riyadh</t>
  </si>
  <si>
    <t>Dakar</t>
  </si>
  <si>
    <t>Belgrade</t>
  </si>
  <si>
    <t>Victoria</t>
  </si>
  <si>
    <t>Freetown</t>
  </si>
  <si>
    <t>Bratislava</t>
  </si>
  <si>
    <t>Ljubljana</t>
  </si>
  <si>
    <t>Honiara</t>
  </si>
  <si>
    <t>Mogadishu</t>
  </si>
  <si>
    <t>Seoul</t>
  </si>
  <si>
    <t>Juba</t>
  </si>
  <si>
    <t>Madrid</t>
  </si>
  <si>
    <t>Khartoum</t>
  </si>
  <si>
    <t>Paramaribo</t>
  </si>
  <si>
    <t>Stockholm</t>
  </si>
  <si>
    <t>Bern</t>
  </si>
  <si>
    <t>Damascus</t>
  </si>
  <si>
    <t>Dushanbe</t>
  </si>
  <si>
    <t>Bangkok</t>
  </si>
  <si>
    <t>Lome</t>
  </si>
  <si>
    <t>Nuku'alofa</t>
  </si>
  <si>
    <t>Port of Spain</t>
  </si>
  <si>
    <t>Tunis</t>
  </si>
  <si>
    <t>Ankara</t>
  </si>
  <si>
    <t>Ashgabat</t>
  </si>
  <si>
    <t>Kampala</t>
  </si>
  <si>
    <t>Abu Dhabi</t>
  </si>
  <si>
    <t>Washington D.C.</t>
  </si>
  <si>
    <t>Montevideo</t>
  </si>
  <si>
    <t>Tashkent</t>
  </si>
  <si>
    <t>Port Vila</t>
  </si>
  <si>
    <t>Caracas</t>
  </si>
  <si>
    <t>Hanoi</t>
  </si>
  <si>
    <t>Lusaka</t>
  </si>
  <si>
    <t>Harare</t>
  </si>
  <si>
    <t>Jerusalem</t>
  </si>
  <si>
    <t>Mbabane</t>
  </si>
  <si>
    <t>Nay Pyi Taw</t>
  </si>
  <si>
    <t>Yamoussoukro</t>
  </si>
  <si>
    <t>São Tomé</t>
  </si>
  <si>
    <t>Vatican</t>
  </si>
  <si>
    <t>AGO</t>
  </si>
  <si>
    <t>BWA</t>
  </si>
  <si>
    <t>BDI</t>
  </si>
  <si>
    <t>COM</t>
  </si>
  <si>
    <t>COD</t>
  </si>
  <si>
    <t>ERI</t>
  </si>
  <si>
    <t>SWZ</t>
  </si>
  <si>
    <t>ETH</t>
  </si>
  <si>
    <t>KEN</t>
  </si>
  <si>
    <t>LSO</t>
  </si>
  <si>
    <t>MDG</t>
  </si>
  <si>
    <t>MWI</t>
  </si>
  <si>
    <t>MUS</t>
  </si>
  <si>
    <t>MOZ</t>
  </si>
  <si>
    <t>NAM</t>
  </si>
  <si>
    <t>RWA</t>
  </si>
  <si>
    <t>STP</t>
  </si>
  <si>
    <t>SYC</t>
  </si>
  <si>
    <t>SOM</t>
  </si>
  <si>
    <t>ZAF</t>
  </si>
  <si>
    <t>SSD</t>
  </si>
  <si>
    <t>SDN</t>
  </si>
  <si>
    <t>TZA</t>
  </si>
  <si>
    <t>UGA</t>
  </si>
  <si>
    <t>ZMB</t>
  </si>
  <si>
    <t>ZWE</t>
  </si>
  <si>
    <t>BEN</t>
  </si>
  <si>
    <t>BFA</t>
  </si>
  <si>
    <t>CPV</t>
  </si>
  <si>
    <t>CMR</t>
  </si>
  <si>
    <t>CAF</t>
  </si>
  <si>
    <t>TCD</t>
  </si>
  <si>
    <t>COG</t>
  </si>
  <si>
    <t>CIV</t>
  </si>
  <si>
    <t>GNQ</t>
  </si>
  <si>
    <t>GAB</t>
  </si>
  <si>
    <t>GMB</t>
  </si>
  <si>
    <t>GHA</t>
  </si>
  <si>
    <t>GIN</t>
  </si>
  <si>
    <t>GNB</t>
  </si>
  <si>
    <t>LBR</t>
  </si>
  <si>
    <t>MLI</t>
  </si>
  <si>
    <t>MRT</t>
  </si>
  <si>
    <t>NER</t>
  </si>
  <si>
    <t>NGA</t>
  </si>
  <si>
    <t>SEN</t>
  </si>
  <si>
    <t>SLE</t>
  </si>
  <si>
    <t>TGO</t>
  </si>
  <si>
    <t>DZA</t>
  </si>
  <si>
    <t>BHR</t>
  </si>
  <si>
    <t>DJI</t>
  </si>
  <si>
    <t>EGY</t>
  </si>
  <si>
    <t>IRQ</t>
  </si>
  <si>
    <t>JOR</t>
  </si>
  <si>
    <t>KWT</t>
  </si>
  <si>
    <t>LBN</t>
  </si>
  <si>
    <t>LBY</t>
  </si>
  <si>
    <t>MAR</t>
  </si>
  <si>
    <t>OMN</t>
  </si>
  <si>
    <t>QAT</t>
  </si>
  <si>
    <t>SAU</t>
  </si>
  <si>
    <t>SYR</t>
  </si>
  <si>
    <t>TUN</t>
  </si>
  <si>
    <t>ARE</t>
  </si>
  <si>
    <t>PSE</t>
  </si>
  <si>
    <t>YEM</t>
  </si>
  <si>
    <t>ATG</t>
  </si>
  <si>
    <t>BHS</t>
  </si>
  <si>
    <t>BRB</t>
  </si>
  <si>
    <t>BLZ</t>
  </si>
  <si>
    <t>DMA</t>
  </si>
  <si>
    <t>GRD</t>
  </si>
  <si>
    <t>GUY</t>
  </si>
  <si>
    <t>KNA</t>
  </si>
  <si>
    <t>LCA</t>
  </si>
  <si>
    <t>VCT</t>
  </si>
  <si>
    <t>SUR</t>
  </si>
  <si>
    <t>TTO</t>
  </si>
  <si>
    <t>BGR</t>
  </si>
  <si>
    <t>HRV</t>
  </si>
  <si>
    <t>CZE</t>
  </si>
  <si>
    <t>EST</t>
  </si>
  <si>
    <t>HUN</t>
  </si>
  <si>
    <t>LVA</t>
  </si>
  <si>
    <t>LTU</t>
  </si>
  <si>
    <t>POL</t>
  </si>
  <si>
    <t>ROU</t>
  </si>
  <si>
    <t>SVK</t>
  </si>
  <si>
    <t>SVN</t>
  </si>
  <si>
    <t>ARG</t>
  </si>
  <si>
    <t>BGD</t>
  </si>
  <si>
    <t>BTN</t>
  </si>
  <si>
    <t>BOL</t>
  </si>
  <si>
    <t>KHM</t>
  </si>
  <si>
    <t>DOM</t>
  </si>
  <si>
    <t>ECU</t>
  </si>
  <si>
    <t>SLV</t>
  </si>
  <si>
    <t>GTM</t>
  </si>
  <si>
    <t>HTI</t>
  </si>
  <si>
    <t>HND</t>
  </si>
  <si>
    <t>IND</t>
  </si>
  <si>
    <t>IDN</t>
  </si>
  <si>
    <t>IRN</t>
  </si>
  <si>
    <t>ISR</t>
  </si>
  <si>
    <t>KIR</t>
  </si>
  <si>
    <t>LAO</t>
  </si>
  <si>
    <t>MDV</t>
  </si>
  <si>
    <t>MEX</t>
  </si>
  <si>
    <t>FSM</t>
  </si>
  <si>
    <t>MMR</t>
  </si>
  <si>
    <t>NPL</t>
  </si>
  <si>
    <t>NIC</t>
  </si>
  <si>
    <t>PAK</t>
  </si>
  <si>
    <t>PAN</t>
  </si>
  <si>
    <t>PNG</t>
  </si>
  <si>
    <t>PRY</t>
  </si>
  <si>
    <t>PER</t>
  </si>
  <si>
    <t>PHL</t>
  </si>
  <si>
    <t>WSM</t>
  </si>
  <si>
    <t>SLB</t>
  </si>
  <si>
    <t>TJK</t>
  </si>
  <si>
    <t>TON</t>
  </si>
  <si>
    <t>TUR</t>
  </si>
  <si>
    <t>TKM</t>
  </si>
  <si>
    <t>UZB</t>
  </si>
  <si>
    <t>VUT</t>
  </si>
  <si>
    <t>VEN</t>
  </si>
  <si>
    <t>AUS</t>
  </si>
  <si>
    <t>BRN</t>
  </si>
  <si>
    <t>CHN</t>
  </si>
  <si>
    <t>FJI</t>
  </si>
  <si>
    <t>JPN</t>
  </si>
  <si>
    <t>PRK</t>
  </si>
  <si>
    <t>KOR</t>
  </si>
  <si>
    <t>MYS</t>
  </si>
  <si>
    <t>MHL</t>
  </si>
  <si>
    <t>MNG</t>
  </si>
  <si>
    <t>NRU</t>
  </si>
  <si>
    <t>NZL</t>
  </si>
  <si>
    <t>PLW</t>
  </si>
  <si>
    <t>SGP</t>
  </si>
  <si>
    <t>THA</t>
  </si>
  <si>
    <t>TLS</t>
  </si>
  <si>
    <t>TUV</t>
  </si>
  <si>
    <t>VNM</t>
  </si>
  <si>
    <t>AUT</t>
  </si>
  <si>
    <t>BEL</t>
  </si>
  <si>
    <t>CYP</t>
  </si>
  <si>
    <t>FIN</t>
  </si>
  <si>
    <t>FRA</t>
  </si>
  <si>
    <t>DEU</t>
  </si>
  <si>
    <t>GRC</t>
  </si>
  <si>
    <t>IRL</t>
  </si>
  <si>
    <t>ITA</t>
  </si>
  <si>
    <t>LUX</t>
  </si>
  <si>
    <t>MLT</t>
  </si>
  <si>
    <t>NLD</t>
  </si>
  <si>
    <t>PRT</t>
  </si>
  <si>
    <t>ESP</t>
  </si>
  <si>
    <t>ALB</t>
  </si>
  <si>
    <t>AND</t>
  </si>
  <si>
    <t>ARM</t>
  </si>
  <si>
    <t>AZE</t>
  </si>
  <si>
    <t>BLR</t>
  </si>
  <si>
    <t>BIH</t>
  </si>
  <si>
    <t>DNK</t>
  </si>
  <si>
    <t>Faroe Islands</t>
  </si>
  <si>
    <t>GEO</t>
  </si>
  <si>
    <t>ISL</t>
  </si>
  <si>
    <t>KAZ</t>
  </si>
  <si>
    <t>Kosovo</t>
  </si>
  <si>
    <t>KGZ</t>
  </si>
  <si>
    <t>LIE</t>
  </si>
  <si>
    <t>MDA</t>
  </si>
  <si>
    <t>MCO</t>
  </si>
  <si>
    <t>MNE</t>
  </si>
  <si>
    <t>MKD</t>
  </si>
  <si>
    <t>NOR</t>
  </si>
  <si>
    <t>RUS</t>
  </si>
  <si>
    <t>Russian Federation</t>
  </si>
  <si>
    <t>SMR</t>
  </si>
  <si>
    <t>SRB</t>
  </si>
  <si>
    <t>SWE</t>
  </si>
  <si>
    <t>CHE</t>
  </si>
  <si>
    <t>UKR</t>
  </si>
  <si>
    <t>GBR</t>
  </si>
  <si>
    <t>AFG</t>
  </si>
  <si>
    <t>CAN</t>
  </si>
  <si>
    <t>CHL</t>
  </si>
  <si>
    <t>CRI</t>
  </si>
  <si>
    <t>USA</t>
  </si>
  <si>
    <t>URY</t>
  </si>
  <si>
    <t>BRA</t>
  </si>
  <si>
    <t>COL</t>
  </si>
  <si>
    <t>JAM</t>
  </si>
  <si>
    <t>LKA</t>
  </si>
  <si>
    <t>CUB</t>
  </si>
  <si>
    <t>country_name</t>
  </si>
  <si>
    <t>region</t>
  </si>
  <si>
    <t>subregion</t>
  </si>
  <si>
    <t>flag</t>
  </si>
  <si>
    <t>capital</t>
  </si>
  <si>
    <t>density (P/Km²)</t>
  </si>
  <si>
    <t>AF</t>
  </si>
  <si>
    <t>AL</t>
  </si>
  <si>
    <t>DZ</t>
  </si>
  <si>
    <t>AD</t>
  </si>
  <si>
    <t>AO</t>
  </si>
  <si>
    <t>1-268</t>
  </si>
  <si>
    <t>AG</t>
  </si>
  <si>
    <t>AR</t>
  </si>
  <si>
    <t>AM</t>
  </si>
  <si>
    <t>AU</t>
  </si>
  <si>
    <t>AT</t>
  </si>
  <si>
    <t>AZ</t>
  </si>
  <si>
    <t>1-242</t>
  </si>
  <si>
    <t>BS</t>
  </si>
  <si>
    <t>BH</t>
  </si>
  <si>
    <t>BD</t>
  </si>
  <si>
    <t>1-246</t>
  </si>
  <si>
    <t>BB</t>
  </si>
  <si>
    <t>BY</t>
  </si>
  <si>
    <t>BE</t>
  </si>
  <si>
    <t>BZ</t>
  </si>
  <si>
    <t>BJ</t>
  </si>
  <si>
    <t>BT</t>
  </si>
  <si>
    <t>BO</t>
  </si>
  <si>
    <t>BA</t>
  </si>
  <si>
    <t>BW</t>
  </si>
  <si>
    <t>BR</t>
  </si>
  <si>
    <t>BN</t>
  </si>
  <si>
    <t>BG</t>
  </si>
  <si>
    <t>BF</t>
  </si>
  <si>
    <t>BI</t>
  </si>
  <si>
    <t>CV</t>
  </si>
  <si>
    <t>KH</t>
  </si>
  <si>
    <t>CM</t>
  </si>
  <si>
    <t>CA</t>
  </si>
  <si>
    <t>CF</t>
  </si>
  <si>
    <t>TD</t>
  </si>
  <si>
    <t>CL</t>
  </si>
  <si>
    <t>CN</t>
  </si>
  <si>
    <t>CO</t>
  </si>
  <si>
    <t>KM</t>
  </si>
  <si>
    <t>CG</t>
  </si>
  <si>
    <t>CR</t>
  </si>
  <si>
    <t>CI</t>
  </si>
  <si>
    <t>HR</t>
  </si>
  <si>
    <t>CU</t>
  </si>
  <si>
    <t>CY</t>
  </si>
  <si>
    <t>CZ</t>
  </si>
  <si>
    <t>DK</t>
  </si>
  <si>
    <t>DJ</t>
  </si>
  <si>
    <t>1-767</t>
  </si>
  <si>
    <t>DM</t>
  </si>
  <si>
    <t>1-809, 1-829, 1-849</t>
  </si>
  <si>
    <t>DO</t>
  </si>
  <si>
    <t>CD</t>
  </si>
  <si>
    <t>EC</t>
  </si>
  <si>
    <t>EG</t>
  </si>
  <si>
    <t>SV</t>
  </si>
  <si>
    <t>GQ</t>
  </si>
  <si>
    <t>ER</t>
  </si>
  <si>
    <t>EE</t>
  </si>
  <si>
    <t>SZ</t>
  </si>
  <si>
    <t>ET</t>
  </si>
  <si>
    <t>FJ</t>
  </si>
  <si>
    <t>FI</t>
  </si>
  <si>
    <t>FR</t>
  </si>
  <si>
    <t>GA</t>
  </si>
  <si>
    <t>GM</t>
  </si>
  <si>
    <t>GE</t>
  </si>
  <si>
    <t>DE</t>
  </si>
  <si>
    <t>GH</t>
  </si>
  <si>
    <t>GR</t>
  </si>
  <si>
    <t>1-473</t>
  </si>
  <si>
    <t>GD</t>
  </si>
  <si>
    <t>GT</t>
  </si>
  <si>
    <t>GN</t>
  </si>
  <si>
    <t>GW</t>
  </si>
  <si>
    <t>GY</t>
  </si>
  <si>
    <t>HT</t>
  </si>
  <si>
    <t>VAT</t>
  </si>
  <si>
    <t>VA</t>
  </si>
  <si>
    <t>HN</t>
  </si>
  <si>
    <t>HU</t>
  </si>
  <si>
    <t>IS</t>
  </si>
  <si>
    <t>IN</t>
  </si>
  <si>
    <t>ID</t>
  </si>
  <si>
    <t>IR</t>
  </si>
  <si>
    <t>IQ</t>
  </si>
  <si>
    <t>IE</t>
  </si>
  <si>
    <t>IL</t>
  </si>
  <si>
    <t>IT</t>
  </si>
  <si>
    <t>1-876</t>
  </si>
  <si>
    <t>JM</t>
  </si>
  <si>
    <t>JP</t>
  </si>
  <si>
    <t>JO</t>
  </si>
  <si>
    <t>KZ</t>
  </si>
  <si>
    <t>KE</t>
  </si>
  <si>
    <t>KI</t>
  </si>
  <si>
    <t>KW</t>
  </si>
  <si>
    <t>KG</t>
  </si>
  <si>
    <t>LA</t>
  </si>
  <si>
    <t>LV</t>
  </si>
  <si>
    <t>LB</t>
  </si>
  <si>
    <t>LS</t>
  </si>
  <si>
    <t>LR</t>
  </si>
  <si>
    <t>LY</t>
  </si>
  <si>
    <t>LI</t>
  </si>
  <si>
    <t>LT</t>
  </si>
  <si>
    <t>LU</t>
  </si>
  <si>
    <t>MG</t>
  </si>
  <si>
    <t>MW</t>
  </si>
  <si>
    <t>MY</t>
  </si>
  <si>
    <t>MV</t>
  </si>
  <si>
    <t>ML</t>
  </si>
  <si>
    <t>MT</t>
  </si>
  <si>
    <t>MH</t>
  </si>
  <si>
    <t>MR</t>
  </si>
  <si>
    <t>MU</t>
  </si>
  <si>
    <t>MX</t>
  </si>
  <si>
    <t>FM</t>
  </si>
  <si>
    <t>MD</t>
  </si>
  <si>
    <t>MC</t>
  </si>
  <si>
    <t>MN</t>
  </si>
  <si>
    <t>ME</t>
  </si>
  <si>
    <t>MA</t>
  </si>
  <si>
    <t>MZ</t>
  </si>
  <si>
    <t>MM</t>
  </si>
  <si>
    <t>NA</t>
  </si>
  <si>
    <t>NR</t>
  </si>
  <si>
    <t>NP</t>
  </si>
  <si>
    <t>NL</t>
  </si>
  <si>
    <t>NZ</t>
  </si>
  <si>
    <t>NI</t>
  </si>
  <si>
    <t>NE</t>
  </si>
  <si>
    <t>NG</t>
  </si>
  <si>
    <t>KP</t>
  </si>
  <si>
    <t>MK</t>
  </si>
  <si>
    <t>NO</t>
  </si>
  <si>
    <t>OM</t>
  </si>
  <si>
    <t>PK</t>
  </si>
  <si>
    <t>PW</t>
  </si>
  <si>
    <t>PA</t>
  </si>
  <si>
    <t>PG</t>
  </si>
  <si>
    <t>PY</t>
  </si>
  <si>
    <t>PE</t>
  </si>
  <si>
    <t>PH</t>
  </si>
  <si>
    <t>PL</t>
  </si>
  <si>
    <t>PT</t>
  </si>
  <si>
    <t>QA</t>
  </si>
  <si>
    <t>RO</t>
  </si>
  <si>
    <t>RU</t>
  </si>
  <si>
    <t>RW</t>
  </si>
  <si>
    <t>1-869</t>
  </si>
  <si>
    <t>KN</t>
  </si>
  <si>
    <t>1-758</t>
  </si>
  <si>
    <t>LC</t>
  </si>
  <si>
    <t>WS</t>
  </si>
  <si>
    <t>SM</t>
  </si>
  <si>
    <t>ST</t>
  </si>
  <si>
    <t>SA</t>
  </si>
  <si>
    <t>SN</t>
  </si>
  <si>
    <t>RS</t>
  </si>
  <si>
    <t>SC</t>
  </si>
  <si>
    <t>SL</t>
  </si>
  <si>
    <t>SG</t>
  </si>
  <si>
    <t>SK</t>
  </si>
  <si>
    <t>SI</t>
  </si>
  <si>
    <t>SB</t>
  </si>
  <si>
    <t>SO</t>
  </si>
  <si>
    <t>ZA</t>
  </si>
  <si>
    <t>KR</t>
  </si>
  <si>
    <t>SS</t>
  </si>
  <si>
    <t>ES</t>
  </si>
  <si>
    <t>LK</t>
  </si>
  <si>
    <t>PS</t>
  </si>
  <si>
    <t>1-784</t>
  </si>
  <si>
    <t>VC</t>
  </si>
  <si>
    <t>SD</t>
  </si>
  <si>
    <t>SR</t>
  </si>
  <si>
    <t>SE</t>
  </si>
  <si>
    <t>CH</t>
  </si>
  <si>
    <t>SY</t>
  </si>
  <si>
    <t>TJ</t>
  </si>
  <si>
    <t>TZ</t>
  </si>
  <si>
    <t>TH</t>
  </si>
  <si>
    <t>TL</t>
  </si>
  <si>
    <t>TG</t>
  </si>
  <si>
    <t>TO</t>
  </si>
  <si>
    <t>1-868</t>
  </si>
  <si>
    <t>TT</t>
  </si>
  <si>
    <t>TN</t>
  </si>
  <si>
    <t>TR</t>
  </si>
  <si>
    <t>TM</t>
  </si>
  <si>
    <t>TV</t>
  </si>
  <si>
    <t>UG</t>
  </si>
  <si>
    <t>UA</t>
  </si>
  <si>
    <t>AE</t>
  </si>
  <si>
    <t>GB</t>
  </si>
  <si>
    <t>US</t>
  </si>
  <si>
    <t>UY</t>
  </si>
  <si>
    <t>UZ</t>
  </si>
  <si>
    <t>VU</t>
  </si>
  <si>
    <t>VE</t>
  </si>
  <si>
    <t>VN</t>
  </si>
  <si>
    <t>YE</t>
  </si>
  <si>
    <t>ZM</t>
  </si>
  <si>
    <t>ZW</t>
  </si>
  <si>
    <t>3-ISO</t>
  </si>
  <si>
    <t>2-ISO</t>
  </si>
  <si>
    <t>🇵🇸</t>
  </si>
  <si>
    <t>🇻🇦</t>
  </si>
  <si>
    <t>Sri Jayawardenapura Kotte</t>
  </si>
  <si>
    <t>Astana</t>
  </si>
  <si>
    <t>Amsterdam</t>
  </si>
  <si>
    <t>Porto Novo</t>
  </si>
  <si>
    <t>La Paz</t>
  </si>
  <si>
    <t>Tirana</t>
  </si>
  <si>
    <t>Funafuti</t>
  </si>
  <si>
    <t>Gitega</t>
  </si>
  <si>
    <t>Kuala Lumpur</t>
  </si>
  <si>
    <t>Sana'a</t>
  </si>
  <si>
    <t>Pretoria, Bloemfontein, Cape</t>
  </si>
  <si>
    <t>Dodoma</t>
  </si>
  <si>
    <t>🇹🇲</t>
  </si>
  <si>
    <t>🇱🇾</t>
  </si>
  <si>
    <t>🇰🇬</t>
  </si>
  <si>
    <t>🇵🇾</t>
  </si>
  <si>
    <t>🇳🇮</t>
  </si>
  <si>
    <t>🇧🇬</t>
  </si>
  <si>
    <t>🇷🇸</t>
  </si>
  <si>
    <t>🇨🇬</t>
  </si>
  <si>
    <t>🇸🇻</t>
  </si>
  <si>
    <t>🇩🇰</t>
  </si>
  <si>
    <t>🇸🇬</t>
  </si>
  <si>
    <t>🇱🇧</t>
  </si>
  <si>
    <t>🇱🇷</t>
  </si>
  <si>
    <t>🇫🇮</t>
  </si>
  <si>
    <t>🇳🇴</t>
  </si>
  <si>
    <t>🇨🇫</t>
  </si>
  <si>
    <t>🇴🇲</t>
  </si>
  <si>
    <t>🇸🇰</t>
  </si>
  <si>
    <t>🇮🇪</t>
  </si>
  <si>
    <t>🇳🇿</t>
  </si>
  <si>
    <t>🇨🇷</t>
  </si>
  <si>
    <t>🇰🇼</t>
  </si>
  <si>
    <t>🇵🇦</t>
  </si>
  <si>
    <t>🇭🇷</t>
  </si>
  <si>
    <t>🇬🇪</t>
  </si>
  <si>
    <t>🇪🇷</t>
  </si>
  <si>
    <t>🇲🇳</t>
  </si>
  <si>
    <t>🇧🇦</t>
  </si>
  <si>
    <t>🇶🇦</t>
  </si>
  <si>
    <t>🇳🇦</t>
  </si>
  <si>
    <t>🇲🇩</t>
  </si>
  <si>
    <t>🇦🇲</t>
  </si>
  <si>
    <t>🇯🇲</t>
  </si>
  <si>
    <t>🇱🇹</t>
  </si>
  <si>
    <t>🇬🇲</t>
  </si>
  <si>
    <t>🇦🇱</t>
  </si>
  <si>
    <t>🇬🇦</t>
  </si>
  <si>
    <t>🇧🇼</t>
  </si>
  <si>
    <t>🇱🇸</t>
  </si>
  <si>
    <t>🇬🇳</t>
  </si>
  <si>
    <t>🇸🇮</t>
  </si>
  <si>
    <t>🇬🇶</t>
  </si>
  <si>
    <t>🇱🇻</t>
  </si>
  <si>
    <t>🇲🇰</t>
  </si>
  <si>
    <t>🇧🇭</t>
  </si>
  <si>
    <t>🇹🇹</t>
  </si>
  <si>
    <t>🇹🇱</t>
  </si>
  <si>
    <t>🇨🇾</t>
  </si>
  <si>
    <t>🇪🇪</t>
  </si>
  <si>
    <t>🇸🇿</t>
  </si>
  <si>
    <t>🇩🇯</t>
  </si>
  <si>
    <t>🇫🇯</t>
  </si>
  <si>
    <t>🇰🇲</t>
  </si>
  <si>
    <t>🇸🇧</t>
  </si>
  <si>
    <t>🇬🇾</t>
  </si>
  <si>
    <t>🇧🇹</t>
  </si>
  <si>
    <t>🇱🇺</t>
  </si>
  <si>
    <t>🇸🇷</t>
  </si>
  <si>
    <t>🇲🇪</t>
  </si>
  <si>
    <t>🇨🇻</t>
  </si>
  <si>
    <t>🇧🇳</t>
  </si>
  <si>
    <t>🇧🇿</t>
  </si>
  <si>
    <t>🇧🇸</t>
  </si>
  <si>
    <t>🇮🇸</t>
  </si>
  <si>
    <t>🇻🇺</t>
  </si>
  <si>
    <t>🇧🇧</t>
  </si>
  <si>
    <t>🇸🇹</t>
  </si>
  <si>
    <t>🇼🇸</t>
  </si>
  <si>
    <t>🇱🇨</t>
  </si>
  <si>
    <t>🇰🇮</t>
  </si>
  <si>
    <t>🇸🇨</t>
  </si>
  <si>
    <t>🇬🇩</t>
  </si>
  <si>
    <t>🇫🇲</t>
  </si>
  <si>
    <t>🇹🇴</t>
  </si>
  <si>
    <t>🇻🇨</t>
  </si>
  <si>
    <t>🇦🇬</t>
  </si>
  <si>
    <t>🇦🇩</t>
  </si>
  <si>
    <t>🇰🇳</t>
  </si>
  <si>
    <t>🇱🇮</t>
  </si>
  <si>
    <t>🇲🇨</t>
  </si>
  <si>
    <t>🇲🇭</t>
  </si>
  <si>
    <t>🇸🇲</t>
  </si>
  <si>
    <t>🇵🇼</t>
  </si>
  <si>
    <t>🇳🇷</t>
  </si>
  <si>
    <t>🇹🇻</t>
  </si>
  <si>
    <t>GDP (nominal, 2023)</t>
  </si>
  <si>
    <t>Share of World GDP 2023</t>
  </si>
  <si>
    <t>GDP per capita 2023</t>
  </si>
  <si>
    <t>—</t>
  </si>
  <si>
    <t>Czech Republic</t>
  </si>
  <si>
    <t>Palestine</t>
  </si>
  <si>
    <t>GDP (nominal, 2024 million USD)</t>
  </si>
  <si>
    <t>population 2025</t>
  </si>
  <si>
    <t>world share</t>
  </si>
  <si>
    <t>land area (Km²)</t>
  </si>
  <si>
    <t>calling code</t>
  </si>
  <si>
    <t>country</t>
  </si>
  <si>
    <t>Kyiv</t>
  </si>
  <si>
    <t>🇹🇼</t>
  </si>
  <si>
    <t>Population 2025</t>
  </si>
  <si>
    <t>Flags</t>
  </si>
  <si>
    <t>🇭🇰</t>
  </si>
  <si>
    <t>🇬🇮</t>
  </si>
  <si>
    <t>🇸🇭</t>
  </si>
  <si>
    <t>🇧🇱</t>
  </si>
  <si>
    <t>🇵🇲</t>
  </si>
  <si>
    <t>🇵🇷</t>
  </si>
  <si>
    <t>🇷🇪</t>
  </si>
  <si>
    <t>🇲🇴</t>
  </si>
  <si>
    <t>🇪🇭</t>
  </si>
  <si>
    <t>🇬🇵</t>
  </si>
  <si>
    <t>Number of Births Per Day</t>
  </si>
  <si>
    <t>Region</t>
  </si>
  <si>
    <t>Region detail</t>
  </si>
  <si>
    <t>🇽🇰</t>
  </si>
  <si>
    <t>Southeast Europe</t>
  </si>
  <si>
    <t>GPI 2024</t>
  </si>
  <si>
    <t>Flag</t>
  </si>
  <si>
    <t>Tot. Area (Km²)</t>
  </si>
  <si>
    <t>Tot. Area (mi²)</t>
  </si>
  <si>
    <t>Land Area (mi²)</t>
  </si>
  <si>
    <t>🇬🇱</t>
  </si>
  <si>
    <t>🇳🇨</t>
  </si>
  <si>
    <t>🇫🇰</t>
  </si>
  <si>
    <t>🇵🇫</t>
  </si>
  <si>
    <t>North America</t>
  </si>
  <si>
    <t>Sauth America</t>
  </si>
  <si>
    <t>🇫🇴</t>
  </si>
  <si>
    <t>🇲🇶</t>
  </si>
  <si>
    <t>🇹🇨</t>
  </si>
  <si>
    <t>Turks &amp; Caicos Islands</t>
  </si>
  <si>
    <t>Latin America</t>
  </si>
  <si>
    <t>🇾🇹</t>
  </si>
  <si>
    <t>🇨🇼</t>
  </si>
  <si>
    <t>🇬🇺</t>
  </si>
  <si>
    <t>🇦🇼</t>
  </si>
  <si>
    <t>🇻🇮</t>
  </si>
  <si>
    <t>🇻🇬</t>
  </si>
  <si>
    <t>🇮🇲</t>
  </si>
  <si>
    <t>🇰🇾</t>
  </si>
  <si>
    <t>🇧🇲</t>
  </si>
  <si>
    <t>🇦🇸</t>
  </si>
  <si>
    <t>🇸🇽</t>
  </si>
  <si>
    <t>🇲🇵</t>
  </si>
  <si>
    <t>🇦🇮</t>
  </si>
  <si>
    <t>🇨🇰</t>
  </si>
  <si>
    <t>🇼🇫</t>
  </si>
  <si>
    <t>🇲🇸</t>
  </si>
  <si>
    <t>🇹🇰</t>
  </si>
  <si>
    <t>🇳🇺</t>
  </si>
  <si>
    <t>GDP (abbrev.)</t>
  </si>
  <si>
    <t>GDP Growth</t>
  </si>
  <si>
    <t>Population 2023</t>
  </si>
  <si>
    <t>GDP per capita</t>
  </si>
  <si>
    <t>Share of World GDP</t>
  </si>
  <si>
    <t>27.721 trillion</t>
  </si>
  <si>
    <t>17.795 trillion</t>
  </si>
  <si>
    <t>4.526 trillion</t>
  </si>
  <si>
    <t>−0.27%</t>
  </si>
  <si>
    <t>4.204 trillion</t>
  </si>
  <si>
    <t>3.568 trillion</t>
  </si>
  <si>
    <t>3.381 trillion</t>
  </si>
  <si>
    <t>3.052 trillion</t>
  </si>
  <si>
    <t>2.301 trillion</t>
  </si>
  <si>
    <t>2.174 trillion</t>
  </si>
  <si>
    <t>2.142 trillion</t>
  </si>
  <si>
    <t>2.021 trillion</t>
  </si>
  <si>
    <t>1.789 trillion</t>
  </si>
  <si>
    <t>1.728 trillion</t>
  </si>
  <si>
    <t>1.713 trillion</t>
  </si>
  <si>
    <t>1.62 trillion</t>
  </si>
  <si>
    <t>1.371 trillion</t>
  </si>
  <si>
    <t>1.154 trillion</t>
  </si>
  <si>
    <t>1.118 trillion</t>
  </si>
  <si>
    <t>1.068 trillion</t>
  </si>
  <si>
    <t>884.94 billion</t>
  </si>
  <si>
    <t>809.201 billion</t>
  </si>
  <si>
    <t>646.075 billion</t>
  </si>
  <si>
    <t>−1.61%</t>
  </si>
  <si>
    <t>644.783 billion</t>
  </si>
  <si>
    <t>584.96 billion</t>
  </si>
  <si>
    <t>−0.31%</t>
  </si>
  <si>
    <t>551.395 billion</t>
  </si>
  <si>
    <t>−5.53%</t>
  </si>
  <si>
    <t>514.969 billion</t>
  </si>
  <si>
    <t>514.13 billion</t>
  </si>
  <si>
    <t>513.611 billion</t>
  </si>
  <si>
    <t>511.685 billion</t>
  </si>
  <si>
    <t>−0.95%</t>
  </si>
  <si>
    <t>501.428 billion</t>
  </si>
  <si>
    <t>485.311 billion</t>
  </si>
  <si>
    <t>437.415 billion</t>
  </si>
  <si>
    <t>437.146 billion</t>
  </si>
  <si>
    <t>429.717 billion</t>
  </si>
  <si>
    <t>407.092 billion</t>
  </si>
  <si>
    <t>404.626 billion</t>
  </si>
  <si>
    <t>399.705 billion</t>
  </si>
  <si>
    <t>396.002 billion</t>
  </si>
  <si>
    <t>380.812 billion</t>
  </si>
  <si>
    <t>380.699 billion</t>
  </si>
  <si>
    <t>363.846 billion</t>
  </si>
  <si>
    <t>363.494 billion</t>
  </si>
  <si>
    <t>350.776 billion</t>
  </si>
  <si>
    <t>343.208 billion</t>
  </si>
  <si>
    <t>−0.09%</t>
  </si>
  <si>
    <t>337.912 billion</t>
  </si>
  <si>
    <t>335.533 billion</t>
  </si>
  <si>
    <t>295.532 billion</t>
  </si>
  <si>
    <t>−1.16%</t>
  </si>
  <si>
    <t>289.114 billion</t>
  </si>
  <si>
    <t>267.603 billion</t>
  </si>
  <si>
    <t>−0.55%</t>
  </si>
  <si>
    <t>262.642 billion</t>
  </si>
  <si>
    <t>252.176 billion</t>
  </si>
  <si>
    <t>250.843 billion</t>
  </si>
  <si>
    <t>−2.94%</t>
  </si>
  <si>
    <t>247.626 billion</t>
  </si>
  <si>
    <t>243.498 billion</t>
  </si>
  <si>
    <t>213.003 billion</t>
  </si>
  <si>
    <t>212.389 billion</t>
  </si>
  <si>
    <t>−0.91%</t>
  </si>
  <si>
    <t>178.757 billion</t>
  </si>
  <si>
    <t>163.705 billion</t>
  </si>
  <si>
    <t>−3.64%</t>
  </si>
  <si>
    <t>163.698 billion</t>
  </si>
  <si>
    <t>144.417 billion</t>
  </si>
  <si>
    <t>132.908 billion</t>
  </si>
  <si>
    <t>121.444 billion</t>
  </si>
  <si>
    <t>118.845 billion</t>
  </si>
  <si>
    <t>109.266 billion</t>
  </si>
  <si>
    <t>−20.11%</t>
  </si>
  <si>
    <t>108.811 billion</t>
  </si>
  <si>
    <t>108.039 billion</t>
  </si>
  <si>
    <t>104.45 billion</t>
  </si>
  <si>
    <t>102.408 billion</t>
  </si>
  <si>
    <t>101.592 billion</t>
  </si>
  <si>
    <t>86.498 billion</t>
  </si>
  <si>
    <t>85.755 billion</t>
  </si>
  <si>
    <t>−1.1%</t>
  </si>
  <si>
    <t>84.825 billion</t>
  </si>
  <si>
    <t>84.394 billion</t>
  </si>
  <si>
    <t>84.357 billion</t>
  </si>
  <si>
    <t>−2.3%</t>
  </si>
  <si>
    <t>83.318 billion</t>
  </si>
  <si>
    <t>81.343 billion</t>
  </si>
  <si>
    <t>79.79 billion</t>
  </si>
  <si>
    <t>79.062 billion</t>
  </si>
  <si>
    <t>78.875 billion</t>
  </si>
  <si>
    <t>77.241 billion</t>
  </si>
  <si>
    <t>76.37 billion</t>
  </si>
  <si>
    <t>72.356 billion</t>
  </si>
  <si>
    <t>71.857 billion</t>
  </si>
  <si>
    <t>69.148 billion</t>
  </si>
  <si>
    <t>66.758 billion</t>
  </si>
  <si>
    <t>66.383 billion</t>
  </si>
  <si>
    <t>60.629 billion</t>
  </si>
  <si>
    <t>50.967 billion</t>
  </si>
  <si>
    <t>49.279 billion</t>
  </si>
  <si>
    <t>48.769 billion</t>
  </si>
  <si>
    <t>48.53 billion</t>
  </si>
  <si>
    <t>46.08 billion</t>
  </si>
  <si>
    <t>45.803 billion</t>
  </si>
  <si>
    <t>45.135 billion</t>
  </si>
  <si>
    <t>45.096 billion</t>
  </si>
  <si>
    <t>42.956 billion</t>
  </si>
  <si>
    <t>42.336 billion</t>
  </si>
  <si>
    <t>42.248 billion</t>
  </si>
  <si>
    <t>41.291 billion</t>
  </si>
  <si>
    <t>−3.02%</t>
  </si>
  <si>
    <t>40.908 billion</t>
  </si>
  <si>
    <t>35.231 billion</t>
  </si>
  <si>
    <t>34.401 billion</t>
  </si>
  <si>
    <t>34.016 billion</t>
  </si>
  <si>
    <t>33.887 billion</t>
  </si>
  <si>
    <t>31.325 billion</t>
  </si>
  <si>
    <t>30.848 billion</t>
  </si>
  <si>
    <t>30.778 billion</t>
  </si>
  <si>
    <t>30.729 billion</t>
  </si>
  <si>
    <t>27.578 billion</t>
  </si>
  <si>
    <t>27.515 billion</t>
  </si>
  <si>
    <t>27.372 billion</t>
  </si>
  <si>
    <t>24.086 billion</t>
  </si>
  <si>
    <t>23.547 billion</t>
  </si>
  <si>
    <t>22.329 billion</t>
  </si>
  <si>
    <t>22.199 billion</t>
  </si>
  <si>
    <t>20.954 billion</t>
  </si>
  <si>
    <t>20.662 billion</t>
  </si>
  <si>
    <t>20.325 billion</t>
  </si>
  <si>
    <t>19.851 billion</t>
  </si>
  <si>
    <t>−1.86%</t>
  </si>
  <si>
    <t>19.676 billion</t>
  </si>
  <si>
    <t>19.423 billion</t>
  </si>
  <si>
    <t>19.396 billion</t>
  </si>
  <si>
    <t>19.388 billion</t>
  </si>
  <si>
    <t>17.829 billion</t>
  </si>
  <si>
    <t>17.421 billion</t>
  </si>
  <si>
    <t>−5.41%</t>
  </si>
  <si>
    <t>17.233 billion</t>
  </si>
  <si>
    <t>17.16 billion</t>
  </si>
  <si>
    <t>16.819 billion</t>
  </si>
  <si>
    <t>16.539 billion</t>
  </si>
  <si>
    <t>15.843 billion</t>
  </si>
  <si>
    <t>15.79 billion</t>
  </si>
  <si>
    <t>15.764 billion</t>
  </si>
  <si>
    <t>15.321 billion</t>
  </si>
  <si>
    <t>15.128 billion</t>
  </si>
  <si>
    <t>14.645 billion</t>
  </si>
  <si>
    <t>14.338 billion</t>
  </si>
  <si>
    <t>14.098 billion</t>
  </si>
  <si>
    <t>13.988 billion</t>
  </si>
  <si>
    <t>13.149 billion</t>
  </si>
  <si>
    <t>12.712 billion</t>
  </si>
  <si>
    <t>12.351 billion</t>
  </si>
  <si>
    <t>12.338 billion</t>
  </si>
  <si>
    <t>−5.09%</t>
  </si>
  <si>
    <t>12.061 billion</t>
  </si>
  <si>
    <t>10.652 billion</t>
  </si>
  <si>
    <t>9.171 billion</t>
  </si>
  <si>
    <t>7.531 billion</t>
  </si>
  <si>
    <t>6.721 billion</t>
  </si>
  <si>
    <t>6.591 billion</t>
  </si>
  <si>
    <t>6.412 billion</t>
  </si>
  <si>
    <t>5.442 billion</t>
  </si>
  <si>
    <t>4.443 billion</t>
  </si>
  <si>
    <t>4.24 billion</t>
  </si>
  <si>
    <t>3.785 billion</t>
  </si>
  <si>
    <t>3.649 billion</t>
  </si>
  <si>
    <t>3.455 billion</t>
  </si>
  <si>
    <t>3.067 billion</t>
  </si>
  <si>
    <t>2.642 billion</t>
  </si>
  <si>
    <t>2.555 billion</t>
  </si>
  <si>
    <t>2.534 billion</t>
  </si>
  <si>
    <t>2.43 billion</t>
  </si>
  <si>
    <t>2.396 billion</t>
  </si>
  <si>
    <t>2.141 billion</t>
  </si>
  <si>
    <t>2.118 billion</t>
  </si>
  <si>
    <t>2.08 billion</t>
  </si>
  <si>
    <t>−18.12%</t>
  </si>
  <si>
    <t>2.048 billion</t>
  </si>
  <si>
    <t>2.033 billion</t>
  </si>
  <si>
    <t>1.633 billion</t>
  </si>
  <si>
    <t>1.352 billion</t>
  </si>
  <si>
    <t>1.317 billion</t>
  </si>
  <si>
    <t>1.126 billion</t>
  </si>
  <si>
    <t>1.066 billion</t>
  </si>
  <si>
    <t>1.055 billion</t>
  </si>
  <si>
    <t>938.189 million</t>
  </si>
  <si>
    <t>678.976 million</t>
  </si>
  <si>
    <t>653.993 million</t>
  </si>
  <si>
    <t>460 million</t>
  </si>
  <si>
    <t>281.849 million</t>
  </si>
  <si>
    <t>279.209 million</t>
  </si>
  <si>
    <t>259.3 million</t>
  </si>
  <si>
    <t>−3.93%</t>
  </si>
  <si>
    <t>62.28 million</t>
  </si>
  <si>
    <t>GDP (PPP) per capita 2023</t>
  </si>
  <si>
    <t>GDP (nominal) per capita 2023</t>
  </si>
  <si>
    <t>vs World PPP GDP per capita $22,837</t>
  </si>
  <si>
    <t>GDP (calc billion)</t>
  </si>
  <si>
    <t>flags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</si>
</sst>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5" formatCode="&quot;$&quot;#,##0"/>
  </numFmts>
  <fonts count="28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28"/>
      <color theme="1"/>
      <name val="Times New Roman"/>
      <family val="1"/>
    </font>
    <font>
      <sz val="28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theme="1"/>
      <name val="Calibri"/>
      <family val="2"/>
    </font>
    <font>
      <u/>
      <sz val="12"/>
      <color theme="1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22"/>
      <color theme="1"/>
      <name val="Calibri"/>
      <family val="2"/>
    </font>
    <font>
      <sz val="10.5"/>
      <color theme="1"/>
      <name val="Helvetica Neue"/>
      <family val="2"/>
    </font>
    <font>
      <sz val="10.5"/>
      <color theme="1"/>
      <name val="Helvetica Neue"/>
      <family val="2"/>
    </font>
    <font>
      <sz val="16"/>
      <color theme="1"/>
      <name val="Aptos Narrow"/>
      <family val="2"/>
      <scheme val="minor"/>
    </font>
    <font>
      <sz val="14"/>
      <color rgb="FF475467"/>
      <name val="Arial"/>
      <family val="2"/>
    </font>
    <font>
      <sz val="15"/>
      <color theme="1"/>
      <name val="Times New Roman"/>
      <family val="1"/>
    </font>
    <font>
      <b/>
      <sz val="12"/>
      <color theme="0"/>
      <name val="Aptos Narrow"/>
      <scheme val="minor"/>
    </font>
    <font>
      <b/>
      <sz val="12"/>
      <color theme="0"/>
      <name val="Calibri"/>
      <family val="2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2"/>
      <color theme="10"/>
      <name val="Aptos Narrow"/>
      <family val="2"/>
      <scheme val="minor"/>
    </font>
    <font>
      <sz val="16"/>
      <color theme="1"/>
      <name val="Times New Roman"/>
      <family val="1"/>
    </font>
    <font>
      <sz val="16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13" fillId="0" borderId="0" applyFont="0" applyFill="0" applyBorder="0" applyAlignment="0" applyProtection="0"/>
    <xf numFmtId="0" fontId="14" fillId="0" borderId="0"/>
  </cellStyleXfs>
  <cellXfs count="62">
    <xf numFmtId="0" fontId="0" fillId="0" borderId="0" xfId="0"/>
    <xf numFmtId="0" fontId="5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1" applyAlignment="1">
      <alignment vertical="center"/>
    </xf>
    <xf numFmtId="3" fontId="2" fillId="0" borderId="0" xfId="0" applyNumberFormat="1" applyFont="1" applyAlignment="1">
      <alignment vertical="center"/>
    </xf>
    <xf numFmtId="10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9" fillId="0" borderId="0" xfId="0" applyFont="1"/>
    <xf numFmtId="0" fontId="10" fillId="0" borderId="0" xfId="1" applyFont="1"/>
    <xf numFmtId="0" fontId="11" fillId="3" borderId="0" xfId="0" applyFont="1" applyFill="1"/>
    <xf numFmtId="3" fontId="12" fillId="0" borderId="0" xfId="0" applyNumberFormat="1" applyFont="1"/>
    <xf numFmtId="10" fontId="9" fillId="0" borderId="0" xfId="0" applyNumberFormat="1" applyFont="1"/>
    <xf numFmtId="3" fontId="9" fillId="0" borderId="0" xfId="0" applyNumberFormat="1" applyFont="1"/>
    <xf numFmtId="9" fontId="9" fillId="0" borderId="0" xfId="0" applyNumberFormat="1" applyFont="1"/>
    <xf numFmtId="0" fontId="12" fillId="0" borderId="0" xfId="0" applyFont="1"/>
    <xf numFmtId="0" fontId="3" fillId="0" borderId="0" xfId="1"/>
    <xf numFmtId="0" fontId="0" fillId="4" borderId="0" xfId="0" applyFill="1"/>
    <xf numFmtId="0" fontId="0" fillId="4" borderId="0" xfId="0" applyFill="1" applyAlignment="1">
      <alignment wrapText="1"/>
    </xf>
    <xf numFmtId="10" fontId="4" fillId="2" borderId="0" xfId="2" applyNumberFormat="1" applyFont="1" applyFill="1" applyAlignment="1">
      <alignment vertical="center" wrapText="1"/>
    </xf>
    <xf numFmtId="10" fontId="0" fillId="0" borderId="0" xfId="2" applyNumberFormat="1" applyFont="1"/>
    <xf numFmtId="165" fontId="4" fillId="2" borderId="0" xfId="0" applyNumberFormat="1" applyFont="1" applyFill="1" applyAlignment="1">
      <alignment vertical="center" wrapText="1"/>
    </xf>
    <xf numFmtId="165" fontId="0" fillId="0" borderId="0" xfId="0" applyNumberFormat="1"/>
    <xf numFmtId="165" fontId="0" fillId="0" borderId="0" xfId="0" applyNumberFormat="1" applyAlignment="1">
      <alignment vertical="center"/>
    </xf>
    <xf numFmtId="3" fontId="4" fillId="2" borderId="0" xfId="0" applyNumberFormat="1" applyFont="1" applyFill="1" applyAlignment="1">
      <alignment vertical="center" wrapText="1"/>
    </xf>
    <xf numFmtId="3" fontId="0" fillId="0" borderId="0" xfId="2" applyNumberFormat="1" applyFont="1"/>
    <xf numFmtId="0" fontId="15" fillId="0" borderId="0" xfId="0" applyFont="1"/>
    <xf numFmtId="0" fontId="16" fillId="2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3" fontId="17" fillId="0" borderId="0" xfId="0" applyNumberFormat="1" applyFont="1" applyAlignment="1">
      <alignment vertical="center"/>
    </xf>
    <xf numFmtId="0" fontId="4" fillId="2" borderId="0" xfId="0" applyFont="1" applyFill="1"/>
    <xf numFmtId="0" fontId="18" fillId="0" borderId="0" xfId="0" applyFont="1"/>
    <xf numFmtId="0" fontId="19" fillId="0" borderId="0" xfId="0" applyFont="1"/>
    <xf numFmtId="0" fontId="4" fillId="5" borderId="0" xfId="0" applyFont="1" applyFill="1"/>
    <xf numFmtId="0" fontId="9" fillId="3" borderId="0" xfId="0" applyFont="1" applyFill="1"/>
    <xf numFmtId="0" fontId="20" fillId="6" borderId="0" xfId="0" applyFont="1" applyFill="1"/>
    <xf numFmtId="0" fontId="1" fillId="0" borderId="0" xfId="0" applyFont="1"/>
    <xf numFmtId="3" fontId="1" fillId="0" borderId="0" xfId="0" applyNumberFormat="1" applyFont="1"/>
    <xf numFmtId="10" fontId="1" fillId="0" borderId="0" xfId="0" applyNumberFormat="1" applyFont="1"/>
    <xf numFmtId="0" fontId="4" fillId="7" borderId="0" xfId="0" applyFont="1" applyFill="1" applyAlignment="1">
      <alignment vertical="center"/>
    </xf>
    <xf numFmtId="0" fontId="21" fillId="8" borderId="0" xfId="0" applyFont="1" applyFill="1" applyAlignment="1">
      <alignment vertical="center"/>
    </xf>
    <xf numFmtId="0" fontId="22" fillId="8" borderId="0" xfId="0" applyFont="1" applyFill="1"/>
    <xf numFmtId="0" fontId="23" fillId="0" borderId="0" xfId="0" applyFont="1"/>
    <xf numFmtId="0" fontId="20" fillId="0" borderId="0" xfId="0" applyFont="1"/>
    <xf numFmtId="6" fontId="0" fillId="0" borderId="0" xfId="0" applyNumberFormat="1"/>
    <xf numFmtId="6" fontId="24" fillId="0" borderId="0" xfId="0" applyNumberFormat="1" applyFont="1"/>
    <xf numFmtId="0" fontId="24" fillId="0" borderId="0" xfId="0" applyFont="1"/>
    <xf numFmtId="10" fontId="24" fillId="0" borderId="0" xfId="0" applyNumberFormat="1" applyFont="1"/>
    <xf numFmtId="3" fontId="24" fillId="0" borderId="0" xfId="0" applyNumberFormat="1" applyFont="1"/>
    <xf numFmtId="9" fontId="0" fillId="0" borderId="0" xfId="0" applyNumberFormat="1"/>
    <xf numFmtId="9" fontId="24" fillId="0" borderId="0" xfId="0" applyNumberFormat="1" applyFont="1"/>
    <xf numFmtId="0" fontId="25" fillId="0" borderId="0" xfId="1" applyFont="1"/>
    <xf numFmtId="8" fontId="24" fillId="0" borderId="0" xfId="0" applyNumberFormat="1" applyFont="1"/>
    <xf numFmtId="0" fontId="26" fillId="0" borderId="0" xfId="0" applyFont="1"/>
    <xf numFmtId="0" fontId="27" fillId="0" borderId="0" xfId="1" applyFont="1"/>
  </cellXfs>
  <cellStyles count="4">
    <cellStyle name="Hyperlink" xfId="1" builtinId="8"/>
    <cellStyle name="Normal" xfId="0" builtinId="0"/>
    <cellStyle name="Normal 3" xfId="3" xr:uid="{8D9DD7AB-E916-8340-B017-01D0A9F6BA11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355600</xdr:colOff>
      <xdr:row>2</xdr:row>
      <xdr:rowOff>25400</xdr:rowOff>
    </xdr:to>
    <xdr:sp macro="" textlink="">
      <xdr:nvSpPr>
        <xdr:cNvPr id="26625" name="AutoShape 1" descr="Iceland Flag">
          <a:extLst>
            <a:ext uri="{FF2B5EF4-FFF2-40B4-BE49-F238E27FC236}">
              <a16:creationId xmlns:a16="http://schemas.microsoft.com/office/drawing/2014/main" id="{2DB35BCD-C3F8-6CF4-709E-C66011F3FF43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03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355600</xdr:colOff>
      <xdr:row>3</xdr:row>
      <xdr:rowOff>25400</xdr:rowOff>
    </xdr:to>
    <xdr:sp macro="" textlink="">
      <xdr:nvSpPr>
        <xdr:cNvPr id="26626" name="AutoShape 2" descr="Austria Flag">
          <a:extLst>
            <a:ext uri="{FF2B5EF4-FFF2-40B4-BE49-F238E27FC236}">
              <a16:creationId xmlns:a16="http://schemas.microsoft.com/office/drawing/2014/main" id="{446F1643-F9E6-18F5-577A-3BCB8369C182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31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355600</xdr:colOff>
      <xdr:row>4</xdr:row>
      <xdr:rowOff>25400</xdr:rowOff>
    </xdr:to>
    <xdr:sp macro="" textlink="">
      <xdr:nvSpPr>
        <xdr:cNvPr id="26627" name="AutoShape 3" descr="Ireland Flag">
          <a:extLst>
            <a:ext uri="{FF2B5EF4-FFF2-40B4-BE49-F238E27FC236}">
              <a16:creationId xmlns:a16="http://schemas.microsoft.com/office/drawing/2014/main" id="{5C5D910C-781A-9A96-7A74-A068A0F17CEF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604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355600</xdr:colOff>
      <xdr:row>5</xdr:row>
      <xdr:rowOff>25400</xdr:rowOff>
    </xdr:to>
    <xdr:sp macro="" textlink="">
      <xdr:nvSpPr>
        <xdr:cNvPr id="26628" name="AutoShape 4" descr="New Zealand Flag">
          <a:extLst>
            <a:ext uri="{FF2B5EF4-FFF2-40B4-BE49-F238E27FC236}">
              <a16:creationId xmlns:a16="http://schemas.microsoft.com/office/drawing/2014/main" id="{11FB1DDC-E01A-301F-F4CC-75476249B477}"/>
            </a:ext>
          </a:extLst>
        </xdr:cNvPr>
        <xdr:cNvSpPr>
          <a:spLocks noChangeAspect="1" noChangeArrowheads="1"/>
        </xdr:cNvSpPr>
      </xdr:nvSpPr>
      <xdr:spPr bwMode="auto">
        <a:xfrm>
          <a:off x="1181100" y="8890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355600</xdr:colOff>
      <xdr:row>6</xdr:row>
      <xdr:rowOff>25400</xdr:rowOff>
    </xdr:to>
    <xdr:sp macro="" textlink="">
      <xdr:nvSpPr>
        <xdr:cNvPr id="26629" name="AutoShape 5" descr="Singapore Flag">
          <a:extLst>
            <a:ext uri="{FF2B5EF4-FFF2-40B4-BE49-F238E27FC236}">
              <a16:creationId xmlns:a16="http://schemas.microsoft.com/office/drawing/2014/main" id="{EE8A91BA-780E-1848-C205-1E16F4D4F106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1176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355600</xdr:colOff>
      <xdr:row>7</xdr:row>
      <xdr:rowOff>25400</xdr:rowOff>
    </xdr:to>
    <xdr:sp macro="" textlink="">
      <xdr:nvSpPr>
        <xdr:cNvPr id="26630" name="AutoShape 6" descr="Switzerland Flag">
          <a:extLst>
            <a:ext uri="{FF2B5EF4-FFF2-40B4-BE49-F238E27FC236}">
              <a16:creationId xmlns:a16="http://schemas.microsoft.com/office/drawing/2014/main" id="{990704EC-9851-A20C-B371-85244E5D13F6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346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355600</xdr:colOff>
      <xdr:row>8</xdr:row>
      <xdr:rowOff>25400</xdr:rowOff>
    </xdr:to>
    <xdr:sp macro="" textlink="">
      <xdr:nvSpPr>
        <xdr:cNvPr id="26631" name="AutoShape 7" descr="Portugal Flag">
          <a:extLst>
            <a:ext uri="{FF2B5EF4-FFF2-40B4-BE49-F238E27FC236}">
              <a16:creationId xmlns:a16="http://schemas.microsoft.com/office/drawing/2014/main" id="{894FF5A4-B7AC-8ABB-2D12-D608FED0387E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574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355600</xdr:colOff>
      <xdr:row>9</xdr:row>
      <xdr:rowOff>25400</xdr:rowOff>
    </xdr:to>
    <xdr:sp macro="" textlink="">
      <xdr:nvSpPr>
        <xdr:cNvPr id="26632" name="AutoShape 8" descr="Denmark Flag">
          <a:extLst>
            <a:ext uri="{FF2B5EF4-FFF2-40B4-BE49-F238E27FC236}">
              <a16:creationId xmlns:a16="http://schemas.microsoft.com/office/drawing/2014/main" id="{BA7EEDF1-CF57-A531-B65B-9F90951CF62B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8034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355600</xdr:colOff>
      <xdr:row>10</xdr:row>
      <xdr:rowOff>25400</xdr:rowOff>
    </xdr:to>
    <xdr:sp macro="" textlink="">
      <xdr:nvSpPr>
        <xdr:cNvPr id="26633" name="AutoShape 9" descr="Slovenia Flag">
          <a:extLst>
            <a:ext uri="{FF2B5EF4-FFF2-40B4-BE49-F238E27FC236}">
              <a16:creationId xmlns:a16="http://schemas.microsoft.com/office/drawing/2014/main" id="{463D3ADA-10A9-D5CE-D800-608703FE0279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0320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355600</xdr:colOff>
      <xdr:row>11</xdr:row>
      <xdr:rowOff>25400</xdr:rowOff>
    </xdr:to>
    <xdr:sp macro="" textlink="">
      <xdr:nvSpPr>
        <xdr:cNvPr id="26634" name="AutoShape 10" descr="Malaysia Flag">
          <a:extLst>
            <a:ext uri="{FF2B5EF4-FFF2-40B4-BE49-F238E27FC236}">
              <a16:creationId xmlns:a16="http://schemas.microsoft.com/office/drawing/2014/main" id="{AE0FDCD3-E7DC-2ECB-DB63-709C3D137FAF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2606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355600</xdr:colOff>
      <xdr:row>12</xdr:row>
      <xdr:rowOff>25400</xdr:rowOff>
    </xdr:to>
    <xdr:sp macro="" textlink="">
      <xdr:nvSpPr>
        <xdr:cNvPr id="26635" name="AutoShape 11" descr="Canada Flag">
          <a:extLst>
            <a:ext uri="{FF2B5EF4-FFF2-40B4-BE49-F238E27FC236}">
              <a16:creationId xmlns:a16="http://schemas.microsoft.com/office/drawing/2014/main" id="{FF5662C9-3388-B29B-0F6E-C1C5230FFA72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489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355600</xdr:colOff>
      <xdr:row>13</xdr:row>
      <xdr:rowOff>25400</xdr:rowOff>
    </xdr:to>
    <xdr:sp macro="" textlink="">
      <xdr:nvSpPr>
        <xdr:cNvPr id="26636" name="AutoShape 12" descr="Czech Republic Flag">
          <a:extLst>
            <a:ext uri="{FF2B5EF4-FFF2-40B4-BE49-F238E27FC236}">
              <a16:creationId xmlns:a16="http://schemas.microsoft.com/office/drawing/2014/main" id="{C4E67974-A4A0-4675-2416-5692B1C2AF62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717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355600</xdr:colOff>
      <xdr:row>14</xdr:row>
      <xdr:rowOff>25400</xdr:rowOff>
    </xdr:to>
    <xdr:sp macro="" textlink="">
      <xdr:nvSpPr>
        <xdr:cNvPr id="26637" name="AutoShape 13" descr="Finland Flag">
          <a:extLst>
            <a:ext uri="{FF2B5EF4-FFF2-40B4-BE49-F238E27FC236}">
              <a16:creationId xmlns:a16="http://schemas.microsoft.com/office/drawing/2014/main" id="{8C0B60E1-3298-D9A0-BDA4-CD8548F340B9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9464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355600</xdr:colOff>
      <xdr:row>15</xdr:row>
      <xdr:rowOff>25400</xdr:rowOff>
    </xdr:to>
    <xdr:sp macro="" textlink="">
      <xdr:nvSpPr>
        <xdr:cNvPr id="26638" name="AutoShape 14" descr="Hungary Flag">
          <a:extLst>
            <a:ext uri="{FF2B5EF4-FFF2-40B4-BE49-F238E27FC236}">
              <a16:creationId xmlns:a16="http://schemas.microsoft.com/office/drawing/2014/main" id="{B3ADFB00-2904-D2B6-B476-21ECA9D1C8F7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1750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355600</xdr:colOff>
      <xdr:row>16</xdr:row>
      <xdr:rowOff>25400</xdr:rowOff>
    </xdr:to>
    <xdr:sp macro="" textlink="">
      <xdr:nvSpPr>
        <xdr:cNvPr id="26639" name="AutoShape 15" descr="Croatia Flag">
          <a:extLst>
            <a:ext uri="{FF2B5EF4-FFF2-40B4-BE49-F238E27FC236}">
              <a16:creationId xmlns:a16="http://schemas.microsoft.com/office/drawing/2014/main" id="{B75A549C-8B7F-7665-F03B-385E28BDF449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4036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355600</xdr:colOff>
      <xdr:row>17</xdr:row>
      <xdr:rowOff>25400</xdr:rowOff>
    </xdr:to>
    <xdr:sp macro="" textlink="">
      <xdr:nvSpPr>
        <xdr:cNvPr id="26640" name="AutoShape 16" descr="Belgium Flag">
          <a:extLst>
            <a:ext uri="{FF2B5EF4-FFF2-40B4-BE49-F238E27FC236}">
              <a16:creationId xmlns:a16="http://schemas.microsoft.com/office/drawing/2014/main" id="{038E2452-A468-10E5-3DE0-D30E8A67C96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632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355600</xdr:colOff>
      <xdr:row>18</xdr:row>
      <xdr:rowOff>25400</xdr:rowOff>
    </xdr:to>
    <xdr:sp macro="" textlink="">
      <xdr:nvSpPr>
        <xdr:cNvPr id="26641" name="AutoShape 17" descr="Japan Flag">
          <a:extLst>
            <a:ext uri="{FF2B5EF4-FFF2-40B4-BE49-F238E27FC236}">
              <a16:creationId xmlns:a16="http://schemas.microsoft.com/office/drawing/2014/main" id="{D80A9E56-1731-E7D7-57E1-14F8A7B9B0BE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860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355600</xdr:colOff>
      <xdr:row>19</xdr:row>
      <xdr:rowOff>25400</xdr:rowOff>
    </xdr:to>
    <xdr:sp macro="" textlink="">
      <xdr:nvSpPr>
        <xdr:cNvPr id="26642" name="AutoShape 18" descr="Netherlands Flag">
          <a:extLst>
            <a:ext uri="{FF2B5EF4-FFF2-40B4-BE49-F238E27FC236}">
              <a16:creationId xmlns:a16="http://schemas.microsoft.com/office/drawing/2014/main" id="{5216A465-ACE6-02AE-C9F9-A3984D0FE6E2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0894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355600</xdr:colOff>
      <xdr:row>20</xdr:row>
      <xdr:rowOff>25400</xdr:rowOff>
    </xdr:to>
    <xdr:sp macro="" textlink="">
      <xdr:nvSpPr>
        <xdr:cNvPr id="26643" name="AutoShape 19" descr="Australia Flag">
          <a:extLst>
            <a:ext uri="{FF2B5EF4-FFF2-40B4-BE49-F238E27FC236}">
              <a16:creationId xmlns:a16="http://schemas.microsoft.com/office/drawing/2014/main" id="{52E0033D-DE99-C273-2E95-D6B7869F1318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3180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355600</xdr:colOff>
      <xdr:row>21</xdr:row>
      <xdr:rowOff>25400</xdr:rowOff>
    </xdr:to>
    <xdr:sp macro="" textlink="">
      <xdr:nvSpPr>
        <xdr:cNvPr id="26644" name="AutoShape 20" descr="Germany Flag">
          <a:extLst>
            <a:ext uri="{FF2B5EF4-FFF2-40B4-BE49-F238E27FC236}">
              <a16:creationId xmlns:a16="http://schemas.microsoft.com/office/drawing/2014/main" id="{7CDF76EC-B3FE-F1FC-798C-E7AE93B9A10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5466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355600</xdr:colOff>
      <xdr:row>22</xdr:row>
      <xdr:rowOff>25400</xdr:rowOff>
    </xdr:to>
    <xdr:sp macro="" textlink="">
      <xdr:nvSpPr>
        <xdr:cNvPr id="26645" name="AutoShape 21" descr="Bhutan Flag">
          <a:extLst>
            <a:ext uri="{FF2B5EF4-FFF2-40B4-BE49-F238E27FC236}">
              <a16:creationId xmlns:a16="http://schemas.microsoft.com/office/drawing/2014/main" id="{9AE09405-5FEE-673C-7F14-5B2A4CA2769B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775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355600</xdr:colOff>
      <xdr:row>23</xdr:row>
      <xdr:rowOff>25400</xdr:rowOff>
    </xdr:to>
    <xdr:sp macro="" textlink="">
      <xdr:nvSpPr>
        <xdr:cNvPr id="26646" name="AutoShape 22" descr="Mauritius Flag">
          <a:extLst>
            <a:ext uri="{FF2B5EF4-FFF2-40B4-BE49-F238E27FC236}">
              <a16:creationId xmlns:a16="http://schemas.microsoft.com/office/drawing/2014/main" id="{67E9DE87-456D-DA0C-4C2D-337B82B8842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003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355600</xdr:colOff>
      <xdr:row>24</xdr:row>
      <xdr:rowOff>25400</xdr:rowOff>
    </xdr:to>
    <xdr:sp macro="" textlink="">
      <xdr:nvSpPr>
        <xdr:cNvPr id="26647" name="AutoShape 23" descr="Spain Flag">
          <a:extLst>
            <a:ext uri="{FF2B5EF4-FFF2-40B4-BE49-F238E27FC236}">
              <a16:creationId xmlns:a16="http://schemas.microsoft.com/office/drawing/2014/main" id="{BC5FC15C-A5D8-AD08-9A62-4E2B8D5B8642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2324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355600</xdr:colOff>
      <xdr:row>25</xdr:row>
      <xdr:rowOff>25400</xdr:rowOff>
    </xdr:to>
    <xdr:sp macro="" textlink="">
      <xdr:nvSpPr>
        <xdr:cNvPr id="26648" name="AutoShape 24" descr="Estonia Flag">
          <a:extLst>
            <a:ext uri="{FF2B5EF4-FFF2-40B4-BE49-F238E27FC236}">
              <a16:creationId xmlns:a16="http://schemas.microsoft.com/office/drawing/2014/main" id="{92957222-577D-54B3-E01E-073EB3A2D67F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4610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355600</xdr:colOff>
      <xdr:row>26</xdr:row>
      <xdr:rowOff>25400</xdr:rowOff>
    </xdr:to>
    <xdr:sp macro="" textlink="">
      <xdr:nvSpPr>
        <xdr:cNvPr id="26649" name="AutoShape 25" descr="Kuwait Flag">
          <a:extLst>
            <a:ext uri="{FF2B5EF4-FFF2-40B4-BE49-F238E27FC236}">
              <a16:creationId xmlns:a16="http://schemas.microsoft.com/office/drawing/2014/main" id="{10D2955A-8ADA-B501-2707-9F151392AC93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6896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355600</xdr:colOff>
      <xdr:row>27</xdr:row>
      <xdr:rowOff>25400</xdr:rowOff>
    </xdr:to>
    <xdr:sp macro="" textlink="">
      <xdr:nvSpPr>
        <xdr:cNvPr id="26650" name="AutoShape 26" descr="Bulgaria Flag">
          <a:extLst>
            <a:ext uri="{FF2B5EF4-FFF2-40B4-BE49-F238E27FC236}">
              <a16:creationId xmlns:a16="http://schemas.microsoft.com/office/drawing/2014/main" id="{007187C6-0D92-C02A-E293-11C4E777CAFF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918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355600</xdr:colOff>
      <xdr:row>28</xdr:row>
      <xdr:rowOff>25400</xdr:rowOff>
    </xdr:to>
    <xdr:sp macro="" textlink="">
      <xdr:nvSpPr>
        <xdr:cNvPr id="26651" name="AutoShape 27" descr="Slovakia Flag">
          <a:extLst>
            <a:ext uri="{FF2B5EF4-FFF2-40B4-BE49-F238E27FC236}">
              <a16:creationId xmlns:a16="http://schemas.microsoft.com/office/drawing/2014/main" id="{BA4B6B58-C785-DB8D-020A-1BA81E3AE68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146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355600</xdr:colOff>
      <xdr:row>29</xdr:row>
      <xdr:rowOff>25400</xdr:rowOff>
    </xdr:to>
    <xdr:sp macro="" textlink="">
      <xdr:nvSpPr>
        <xdr:cNvPr id="26652" name="AutoShape 28" descr="Norway Flag">
          <a:extLst>
            <a:ext uri="{FF2B5EF4-FFF2-40B4-BE49-F238E27FC236}">
              <a16:creationId xmlns:a16="http://schemas.microsoft.com/office/drawing/2014/main" id="{48D6E5D9-1260-D85A-33F7-EE1BE0F2B267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3754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355600</xdr:colOff>
      <xdr:row>30</xdr:row>
      <xdr:rowOff>25400</xdr:rowOff>
    </xdr:to>
    <xdr:sp macro="" textlink="">
      <xdr:nvSpPr>
        <xdr:cNvPr id="26653" name="AutoShape 29" descr="Qatar Flag">
          <a:extLst>
            <a:ext uri="{FF2B5EF4-FFF2-40B4-BE49-F238E27FC236}">
              <a16:creationId xmlns:a16="http://schemas.microsoft.com/office/drawing/2014/main" id="{BEFAD33B-CF52-3563-80B5-79C3C049ECA2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6040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355600</xdr:colOff>
      <xdr:row>31</xdr:row>
      <xdr:rowOff>25400</xdr:rowOff>
    </xdr:to>
    <xdr:sp macro="" textlink="">
      <xdr:nvSpPr>
        <xdr:cNvPr id="26654" name="AutoShape 30" descr="Latvia Flag">
          <a:extLst>
            <a:ext uri="{FF2B5EF4-FFF2-40B4-BE49-F238E27FC236}">
              <a16:creationId xmlns:a16="http://schemas.microsoft.com/office/drawing/2014/main" id="{4B530F44-A3CE-B067-C1F4-729497C685B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8326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355600</xdr:colOff>
      <xdr:row>32</xdr:row>
      <xdr:rowOff>25400</xdr:rowOff>
    </xdr:to>
    <xdr:sp macro="" textlink="">
      <xdr:nvSpPr>
        <xdr:cNvPr id="26655" name="AutoShape 31" descr="Lithuania Flag">
          <a:extLst>
            <a:ext uri="{FF2B5EF4-FFF2-40B4-BE49-F238E27FC236}">
              <a16:creationId xmlns:a16="http://schemas.microsoft.com/office/drawing/2014/main" id="{EEBEF4EA-1EFB-C905-2389-FBB7B769EF7E}"/>
            </a:ext>
          </a:extLst>
        </xdr:cNvPr>
        <xdr:cNvSpPr>
          <a:spLocks noChangeAspect="1" noChangeArrowheads="1"/>
        </xdr:cNvSpPr>
      </xdr:nvSpPr>
      <xdr:spPr bwMode="auto">
        <a:xfrm>
          <a:off x="1181100" y="7061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355600</xdr:colOff>
      <xdr:row>33</xdr:row>
      <xdr:rowOff>25400</xdr:rowOff>
    </xdr:to>
    <xdr:sp macro="" textlink="">
      <xdr:nvSpPr>
        <xdr:cNvPr id="26656" name="AutoShape 32" descr="Poland Flag">
          <a:extLst>
            <a:ext uri="{FF2B5EF4-FFF2-40B4-BE49-F238E27FC236}">
              <a16:creationId xmlns:a16="http://schemas.microsoft.com/office/drawing/2014/main" id="{B860340A-718B-518B-81CC-6256E3D698E8}"/>
            </a:ext>
          </a:extLst>
        </xdr:cNvPr>
        <xdr:cNvSpPr>
          <a:spLocks noChangeAspect="1" noChangeArrowheads="1"/>
        </xdr:cNvSpPr>
      </xdr:nvSpPr>
      <xdr:spPr bwMode="auto">
        <a:xfrm>
          <a:off x="1181100" y="7289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355600</xdr:colOff>
      <xdr:row>34</xdr:row>
      <xdr:rowOff>25400</xdr:rowOff>
    </xdr:to>
    <xdr:sp macro="" textlink="">
      <xdr:nvSpPr>
        <xdr:cNvPr id="26657" name="AutoShape 33" descr="Italy Flag">
          <a:extLst>
            <a:ext uri="{FF2B5EF4-FFF2-40B4-BE49-F238E27FC236}">
              <a16:creationId xmlns:a16="http://schemas.microsoft.com/office/drawing/2014/main" id="{15154DA0-FBA4-F102-5415-006FAA123C91}"/>
            </a:ext>
          </a:extLst>
        </xdr:cNvPr>
        <xdr:cNvSpPr>
          <a:spLocks noChangeAspect="1" noChangeArrowheads="1"/>
        </xdr:cNvSpPr>
      </xdr:nvSpPr>
      <xdr:spPr bwMode="auto">
        <a:xfrm>
          <a:off x="1181100" y="75184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355600</xdr:colOff>
      <xdr:row>35</xdr:row>
      <xdr:rowOff>25400</xdr:rowOff>
    </xdr:to>
    <xdr:sp macro="" textlink="">
      <xdr:nvSpPr>
        <xdr:cNvPr id="26658" name="AutoShape 34" descr="United Kingdom Flag">
          <a:extLst>
            <a:ext uri="{FF2B5EF4-FFF2-40B4-BE49-F238E27FC236}">
              <a16:creationId xmlns:a16="http://schemas.microsoft.com/office/drawing/2014/main" id="{B4EF2D54-B66C-0702-4C17-71FE1B3B9F0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77470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355600</xdr:colOff>
      <xdr:row>36</xdr:row>
      <xdr:rowOff>25400</xdr:rowOff>
    </xdr:to>
    <xdr:sp macro="" textlink="">
      <xdr:nvSpPr>
        <xdr:cNvPr id="26659" name="AutoShape 35" descr="Montenegro Flag">
          <a:extLst>
            <a:ext uri="{FF2B5EF4-FFF2-40B4-BE49-F238E27FC236}">
              <a16:creationId xmlns:a16="http://schemas.microsoft.com/office/drawing/2014/main" id="{40C6DF06-7745-73D6-2F68-CB238BF50A3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79756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355600</xdr:colOff>
      <xdr:row>37</xdr:row>
      <xdr:rowOff>25400</xdr:rowOff>
    </xdr:to>
    <xdr:sp macro="" textlink="">
      <xdr:nvSpPr>
        <xdr:cNvPr id="26660" name="AutoShape 36" descr="Romania Flag">
          <a:extLst>
            <a:ext uri="{FF2B5EF4-FFF2-40B4-BE49-F238E27FC236}">
              <a16:creationId xmlns:a16="http://schemas.microsoft.com/office/drawing/2014/main" id="{B4541056-1313-B259-F3B1-9DBDBE1657C9}"/>
            </a:ext>
          </a:extLst>
        </xdr:cNvPr>
        <xdr:cNvSpPr>
          <a:spLocks noChangeAspect="1" noChangeArrowheads="1"/>
        </xdr:cNvSpPr>
      </xdr:nvSpPr>
      <xdr:spPr bwMode="auto">
        <a:xfrm>
          <a:off x="1181100" y="8204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355600</xdr:colOff>
      <xdr:row>38</xdr:row>
      <xdr:rowOff>25400</xdr:rowOff>
    </xdr:to>
    <xdr:sp macro="" textlink="">
      <xdr:nvSpPr>
        <xdr:cNvPr id="26661" name="AutoShape 37" descr="Oman Flag">
          <a:extLst>
            <a:ext uri="{FF2B5EF4-FFF2-40B4-BE49-F238E27FC236}">
              <a16:creationId xmlns:a16="http://schemas.microsoft.com/office/drawing/2014/main" id="{09A4FF96-B446-9886-C91D-DA6006E5ED2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8432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355600</xdr:colOff>
      <xdr:row>39</xdr:row>
      <xdr:rowOff>25400</xdr:rowOff>
    </xdr:to>
    <xdr:sp macro="" textlink="">
      <xdr:nvSpPr>
        <xdr:cNvPr id="26662" name="AutoShape 38" descr="North Macedonia Flag">
          <a:extLst>
            <a:ext uri="{FF2B5EF4-FFF2-40B4-BE49-F238E27FC236}">
              <a16:creationId xmlns:a16="http://schemas.microsoft.com/office/drawing/2014/main" id="{72827089-B18A-9B4A-62D2-33F8DF6E9C4F}"/>
            </a:ext>
          </a:extLst>
        </xdr:cNvPr>
        <xdr:cNvSpPr>
          <a:spLocks noChangeAspect="1" noChangeArrowheads="1"/>
        </xdr:cNvSpPr>
      </xdr:nvSpPr>
      <xdr:spPr bwMode="auto">
        <a:xfrm>
          <a:off x="1181100" y="86614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355600</xdr:colOff>
      <xdr:row>40</xdr:row>
      <xdr:rowOff>25400</xdr:rowOff>
    </xdr:to>
    <xdr:sp macro="" textlink="">
      <xdr:nvSpPr>
        <xdr:cNvPr id="26663" name="AutoShape 39" descr="Sweden Flag">
          <a:extLst>
            <a:ext uri="{FF2B5EF4-FFF2-40B4-BE49-F238E27FC236}">
              <a16:creationId xmlns:a16="http://schemas.microsoft.com/office/drawing/2014/main" id="{C3BCA130-9D5F-FFC5-99A3-FF393F893AE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88900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355600</xdr:colOff>
      <xdr:row>41</xdr:row>
      <xdr:rowOff>25400</xdr:rowOff>
    </xdr:to>
    <xdr:sp macro="" textlink="">
      <xdr:nvSpPr>
        <xdr:cNvPr id="26664" name="AutoShape 40" descr="Greece Flag">
          <a:extLst>
            <a:ext uri="{FF2B5EF4-FFF2-40B4-BE49-F238E27FC236}">
              <a16:creationId xmlns:a16="http://schemas.microsoft.com/office/drawing/2014/main" id="{4BDC56ED-0F55-D807-C1C7-46499C03C482}"/>
            </a:ext>
          </a:extLst>
        </xdr:cNvPr>
        <xdr:cNvSpPr>
          <a:spLocks noChangeAspect="1" noChangeArrowheads="1"/>
        </xdr:cNvSpPr>
      </xdr:nvSpPr>
      <xdr:spPr bwMode="auto">
        <a:xfrm>
          <a:off x="1181100" y="91186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355600</xdr:colOff>
      <xdr:row>42</xdr:row>
      <xdr:rowOff>25400</xdr:rowOff>
    </xdr:to>
    <xdr:sp macro="" textlink="">
      <xdr:nvSpPr>
        <xdr:cNvPr id="26665" name="AutoShape 41" descr="Vietnam Flag">
          <a:extLst>
            <a:ext uri="{FF2B5EF4-FFF2-40B4-BE49-F238E27FC236}">
              <a16:creationId xmlns:a16="http://schemas.microsoft.com/office/drawing/2014/main" id="{80A7304A-048B-5717-C609-7D11580C32EA}"/>
            </a:ext>
          </a:extLst>
        </xdr:cNvPr>
        <xdr:cNvSpPr>
          <a:spLocks noChangeAspect="1" noChangeArrowheads="1"/>
        </xdr:cNvSpPr>
      </xdr:nvSpPr>
      <xdr:spPr bwMode="auto">
        <a:xfrm>
          <a:off x="1181100" y="9347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355600</xdr:colOff>
      <xdr:row>43</xdr:row>
      <xdr:rowOff>25400</xdr:rowOff>
    </xdr:to>
    <xdr:sp macro="" textlink="">
      <xdr:nvSpPr>
        <xdr:cNvPr id="26666" name="AutoShape 42" descr="Albania Flag">
          <a:extLst>
            <a:ext uri="{FF2B5EF4-FFF2-40B4-BE49-F238E27FC236}">
              <a16:creationId xmlns:a16="http://schemas.microsoft.com/office/drawing/2014/main" id="{0C4A668C-A97B-6193-821A-C18C941540F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9575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355600</xdr:colOff>
      <xdr:row>44</xdr:row>
      <xdr:rowOff>25400</xdr:rowOff>
    </xdr:to>
    <xdr:sp macro="" textlink="">
      <xdr:nvSpPr>
        <xdr:cNvPr id="26667" name="AutoShape 43" descr="Taiwan Flag">
          <a:extLst>
            <a:ext uri="{FF2B5EF4-FFF2-40B4-BE49-F238E27FC236}">
              <a16:creationId xmlns:a16="http://schemas.microsoft.com/office/drawing/2014/main" id="{5B3D239B-ABCB-1D6C-CCAC-A4EC207CD58C}"/>
            </a:ext>
          </a:extLst>
        </xdr:cNvPr>
        <xdr:cNvSpPr>
          <a:spLocks noChangeAspect="1" noChangeArrowheads="1"/>
        </xdr:cNvSpPr>
      </xdr:nvSpPr>
      <xdr:spPr bwMode="auto">
        <a:xfrm>
          <a:off x="1181100" y="98044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355600</xdr:colOff>
      <xdr:row>45</xdr:row>
      <xdr:rowOff>25400</xdr:rowOff>
    </xdr:to>
    <xdr:sp macro="" textlink="">
      <xdr:nvSpPr>
        <xdr:cNvPr id="26668" name="AutoShape 44" descr="Madagascar Flag">
          <a:extLst>
            <a:ext uri="{FF2B5EF4-FFF2-40B4-BE49-F238E27FC236}">
              <a16:creationId xmlns:a16="http://schemas.microsoft.com/office/drawing/2014/main" id="{9A344D27-5F4E-5829-CB94-0E1B8E840718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00330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355600</xdr:colOff>
      <xdr:row>46</xdr:row>
      <xdr:rowOff>25400</xdr:rowOff>
    </xdr:to>
    <xdr:sp macro="" textlink="">
      <xdr:nvSpPr>
        <xdr:cNvPr id="26669" name="AutoShape 45" descr="Mongolia Flag">
          <a:extLst>
            <a:ext uri="{FF2B5EF4-FFF2-40B4-BE49-F238E27FC236}">
              <a16:creationId xmlns:a16="http://schemas.microsoft.com/office/drawing/2014/main" id="{8C4A15C2-AE0E-9802-8B60-157B5E1F1418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02616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355600</xdr:colOff>
      <xdr:row>47</xdr:row>
      <xdr:rowOff>25400</xdr:rowOff>
    </xdr:to>
    <xdr:sp macro="" textlink="">
      <xdr:nvSpPr>
        <xdr:cNvPr id="26670" name="AutoShape 46" descr="South Korea Flag">
          <a:extLst>
            <a:ext uri="{FF2B5EF4-FFF2-40B4-BE49-F238E27FC236}">
              <a16:creationId xmlns:a16="http://schemas.microsoft.com/office/drawing/2014/main" id="{D68108F6-74F1-2C85-3989-693F9007507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0490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355600</xdr:colOff>
      <xdr:row>48</xdr:row>
      <xdr:rowOff>25400</xdr:rowOff>
    </xdr:to>
    <xdr:sp macro="" textlink="">
      <xdr:nvSpPr>
        <xdr:cNvPr id="26671" name="AutoShape 47" descr="Argentina Flag">
          <a:extLst>
            <a:ext uri="{FF2B5EF4-FFF2-40B4-BE49-F238E27FC236}">
              <a16:creationId xmlns:a16="http://schemas.microsoft.com/office/drawing/2014/main" id="{0942F819-D4F6-8304-42D3-73DEC7D9770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0718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355600</xdr:colOff>
      <xdr:row>49</xdr:row>
      <xdr:rowOff>25400</xdr:rowOff>
    </xdr:to>
    <xdr:sp macro="" textlink="">
      <xdr:nvSpPr>
        <xdr:cNvPr id="26672" name="AutoShape 48" descr="Indonesia Flag">
          <a:extLst>
            <a:ext uri="{FF2B5EF4-FFF2-40B4-BE49-F238E27FC236}">
              <a16:creationId xmlns:a16="http://schemas.microsoft.com/office/drawing/2014/main" id="{08EF1073-0FE2-A847-2DAF-5C3BF2F7B443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09474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355600</xdr:colOff>
      <xdr:row>50</xdr:row>
      <xdr:rowOff>25400</xdr:rowOff>
    </xdr:to>
    <xdr:sp macro="" textlink="">
      <xdr:nvSpPr>
        <xdr:cNvPr id="26673" name="AutoShape 49" descr="Laos Flag">
          <a:extLst>
            <a:ext uri="{FF2B5EF4-FFF2-40B4-BE49-F238E27FC236}">
              <a16:creationId xmlns:a16="http://schemas.microsoft.com/office/drawing/2014/main" id="{A5C15D18-D0B1-9DD1-FB7F-5F66608B8FC9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11760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355600</xdr:colOff>
      <xdr:row>51</xdr:row>
      <xdr:rowOff>25400</xdr:rowOff>
    </xdr:to>
    <xdr:sp macro="" textlink="">
      <xdr:nvSpPr>
        <xdr:cNvPr id="26674" name="AutoShape 50" descr="Botswana Flag">
          <a:extLst>
            <a:ext uri="{FF2B5EF4-FFF2-40B4-BE49-F238E27FC236}">
              <a16:creationId xmlns:a16="http://schemas.microsoft.com/office/drawing/2014/main" id="{A91D2532-4DE4-F97F-09D6-6E01B2968586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14046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355600</xdr:colOff>
      <xdr:row>52</xdr:row>
      <xdr:rowOff>25400</xdr:rowOff>
    </xdr:to>
    <xdr:sp macro="" textlink="">
      <xdr:nvSpPr>
        <xdr:cNvPr id="26675" name="AutoShape 51" descr="Timor-Leste Flag">
          <a:extLst>
            <a:ext uri="{FF2B5EF4-FFF2-40B4-BE49-F238E27FC236}">
              <a16:creationId xmlns:a16="http://schemas.microsoft.com/office/drawing/2014/main" id="{C36FACEC-4F74-F177-76D7-78C270BF7748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1633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355600</xdr:colOff>
      <xdr:row>53</xdr:row>
      <xdr:rowOff>25400</xdr:rowOff>
    </xdr:to>
    <xdr:sp macro="" textlink="">
      <xdr:nvSpPr>
        <xdr:cNvPr id="26676" name="AutoShape 52" descr="Uruguay Flag">
          <a:extLst>
            <a:ext uri="{FF2B5EF4-FFF2-40B4-BE49-F238E27FC236}">
              <a16:creationId xmlns:a16="http://schemas.microsoft.com/office/drawing/2014/main" id="{38AE05AB-BFBF-2671-2AC8-BA414CB77B56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1861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355600</xdr:colOff>
      <xdr:row>54</xdr:row>
      <xdr:rowOff>25400</xdr:rowOff>
    </xdr:to>
    <xdr:sp macro="" textlink="">
      <xdr:nvSpPr>
        <xdr:cNvPr id="26677" name="AutoShape 53" descr="United Arab Emirates Flag">
          <a:extLst>
            <a:ext uri="{FF2B5EF4-FFF2-40B4-BE49-F238E27FC236}">
              <a16:creationId xmlns:a16="http://schemas.microsoft.com/office/drawing/2014/main" id="{43D8F3F8-CD76-9348-D02A-8FC2AF1C5268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20904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355600</xdr:colOff>
      <xdr:row>55</xdr:row>
      <xdr:rowOff>25400</xdr:rowOff>
    </xdr:to>
    <xdr:sp macro="" textlink="">
      <xdr:nvSpPr>
        <xdr:cNvPr id="26678" name="AutoShape 54" descr="Serbia Flag">
          <a:extLst>
            <a:ext uri="{FF2B5EF4-FFF2-40B4-BE49-F238E27FC236}">
              <a16:creationId xmlns:a16="http://schemas.microsoft.com/office/drawing/2014/main" id="{A5DAD57F-187C-9B28-0A4D-B3DB09CB9BC2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23190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355600</xdr:colOff>
      <xdr:row>56</xdr:row>
      <xdr:rowOff>25400</xdr:rowOff>
    </xdr:to>
    <xdr:sp macro="" textlink="">
      <xdr:nvSpPr>
        <xdr:cNvPr id="26679" name="AutoShape 55" descr="Ghana Flag">
          <a:extLst>
            <a:ext uri="{FF2B5EF4-FFF2-40B4-BE49-F238E27FC236}">
              <a16:creationId xmlns:a16="http://schemas.microsoft.com/office/drawing/2014/main" id="{3A9E3EF6-012A-99F7-A850-2BFC35520E02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25476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355600</xdr:colOff>
      <xdr:row>57</xdr:row>
      <xdr:rowOff>25400</xdr:rowOff>
    </xdr:to>
    <xdr:sp macro="" textlink="">
      <xdr:nvSpPr>
        <xdr:cNvPr id="26680" name="AutoShape 56" descr="Zambia Flag">
          <a:extLst>
            <a:ext uri="{FF2B5EF4-FFF2-40B4-BE49-F238E27FC236}">
              <a16:creationId xmlns:a16="http://schemas.microsoft.com/office/drawing/2014/main" id="{24FE2A5B-DB03-7E47-E97A-4B364E564D0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2776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355600</xdr:colOff>
      <xdr:row>58</xdr:row>
      <xdr:rowOff>25400</xdr:rowOff>
    </xdr:to>
    <xdr:sp macro="" textlink="">
      <xdr:nvSpPr>
        <xdr:cNvPr id="26681" name="AutoShape 57" descr="Costa Rica Flag">
          <a:extLst>
            <a:ext uri="{FF2B5EF4-FFF2-40B4-BE49-F238E27FC236}">
              <a16:creationId xmlns:a16="http://schemas.microsoft.com/office/drawing/2014/main" id="{89FB5B67-47C6-B17D-14CC-0EFE7DE7B481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3004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355600</xdr:colOff>
      <xdr:row>59</xdr:row>
      <xdr:rowOff>25400</xdr:rowOff>
    </xdr:to>
    <xdr:sp macro="" textlink="">
      <xdr:nvSpPr>
        <xdr:cNvPr id="26682" name="AutoShape 58" descr="Kazakhstan Flag">
          <a:extLst>
            <a:ext uri="{FF2B5EF4-FFF2-40B4-BE49-F238E27FC236}">
              <a16:creationId xmlns:a16="http://schemas.microsoft.com/office/drawing/2014/main" id="{D6087BB4-F7D1-F3DA-4E2C-30A747C87CA1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32334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355600</xdr:colOff>
      <xdr:row>60</xdr:row>
      <xdr:rowOff>25400</xdr:rowOff>
    </xdr:to>
    <xdr:sp macro="" textlink="">
      <xdr:nvSpPr>
        <xdr:cNvPr id="26683" name="AutoShape 59" descr="Uzbekistan Flag">
          <a:extLst>
            <a:ext uri="{FF2B5EF4-FFF2-40B4-BE49-F238E27FC236}">
              <a16:creationId xmlns:a16="http://schemas.microsoft.com/office/drawing/2014/main" id="{3FA075D7-C1FC-D455-9A56-C09E9E9B50C8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34620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355600</xdr:colOff>
      <xdr:row>61</xdr:row>
      <xdr:rowOff>25400</xdr:rowOff>
    </xdr:to>
    <xdr:sp macro="" textlink="">
      <xdr:nvSpPr>
        <xdr:cNvPr id="26684" name="AutoShape 60" descr="Bosnia and Herzegovina Flag">
          <a:extLst>
            <a:ext uri="{FF2B5EF4-FFF2-40B4-BE49-F238E27FC236}">
              <a16:creationId xmlns:a16="http://schemas.microsoft.com/office/drawing/2014/main" id="{900F8D16-8D45-97C4-CEA4-88EF64301773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36906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355600</xdr:colOff>
      <xdr:row>62</xdr:row>
      <xdr:rowOff>25400</xdr:rowOff>
    </xdr:to>
    <xdr:sp macro="" textlink="">
      <xdr:nvSpPr>
        <xdr:cNvPr id="26685" name="AutoShape 61" descr="Namibia Flag">
          <a:extLst>
            <a:ext uri="{FF2B5EF4-FFF2-40B4-BE49-F238E27FC236}">
              <a16:creationId xmlns:a16="http://schemas.microsoft.com/office/drawing/2014/main" id="{77E039FF-9D8A-E4D2-8EA8-65A95E893823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3919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355600</xdr:colOff>
      <xdr:row>63</xdr:row>
      <xdr:rowOff>25400</xdr:rowOff>
    </xdr:to>
    <xdr:sp macro="" textlink="">
      <xdr:nvSpPr>
        <xdr:cNvPr id="26686" name="AutoShape 62" descr="Moldova Flag">
          <a:extLst>
            <a:ext uri="{FF2B5EF4-FFF2-40B4-BE49-F238E27FC236}">
              <a16:creationId xmlns:a16="http://schemas.microsoft.com/office/drawing/2014/main" id="{78EB3DE5-A9CE-A715-E842-1999564CDFF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4147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355600</xdr:colOff>
      <xdr:row>64</xdr:row>
      <xdr:rowOff>25400</xdr:rowOff>
    </xdr:to>
    <xdr:sp macro="" textlink="">
      <xdr:nvSpPr>
        <xdr:cNvPr id="26687" name="AutoShape 63" descr="Chile Flag">
          <a:extLst>
            <a:ext uri="{FF2B5EF4-FFF2-40B4-BE49-F238E27FC236}">
              <a16:creationId xmlns:a16="http://schemas.microsoft.com/office/drawing/2014/main" id="{8ED9E543-1805-955B-B5F1-5EEDE125D4B7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43764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355600</xdr:colOff>
      <xdr:row>65</xdr:row>
      <xdr:rowOff>25400</xdr:rowOff>
    </xdr:to>
    <xdr:sp macro="" textlink="">
      <xdr:nvSpPr>
        <xdr:cNvPr id="26688" name="AutoShape 64" descr="Tanzania Flag">
          <a:extLst>
            <a:ext uri="{FF2B5EF4-FFF2-40B4-BE49-F238E27FC236}">
              <a16:creationId xmlns:a16="http://schemas.microsoft.com/office/drawing/2014/main" id="{E494C15A-AD20-3413-D5EF-83A5CA459ABA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46050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355600</xdr:colOff>
      <xdr:row>66</xdr:row>
      <xdr:rowOff>25400</xdr:rowOff>
    </xdr:to>
    <xdr:sp macro="" textlink="">
      <xdr:nvSpPr>
        <xdr:cNvPr id="26689" name="AutoShape 65" descr="Sierra Leone Flag">
          <a:extLst>
            <a:ext uri="{FF2B5EF4-FFF2-40B4-BE49-F238E27FC236}">
              <a16:creationId xmlns:a16="http://schemas.microsoft.com/office/drawing/2014/main" id="{F516F94C-98C4-83E4-6A69-30B082F4DFB1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48336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355600</xdr:colOff>
      <xdr:row>67</xdr:row>
      <xdr:rowOff>25400</xdr:rowOff>
    </xdr:to>
    <xdr:sp macro="" textlink="">
      <xdr:nvSpPr>
        <xdr:cNvPr id="26690" name="AutoShape 66" descr="Jordan Flag">
          <a:extLst>
            <a:ext uri="{FF2B5EF4-FFF2-40B4-BE49-F238E27FC236}">
              <a16:creationId xmlns:a16="http://schemas.microsoft.com/office/drawing/2014/main" id="{B8DDCCD0-B32E-6D56-CAE8-4090AE73BB8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5062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355600</xdr:colOff>
      <xdr:row>68</xdr:row>
      <xdr:rowOff>25400</xdr:rowOff>
    </xdr:to>
    <xdr:sp macro="" textlink="">
      <xdr:nvSpPr>
        <xdr:cNvPr id="26691" name="AutoShape 67" descr="Bolivia Flag">
          <a:extLst>
            <a:ext uri="{FF2B5EF4-FFF2-40B4-BE49-F238E27FC236}">
              <a16:creationId xmlns:a16="http://schemas.microsoft.com/office/drawing/2014/main" id="{7948088B-6651-22C7-6DC1-03E3E036AD56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5290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355600</xdr:colOff>
      <xdr:row>69</xdr:row>
      <xdr:rowOff>25400</xdr:rowOff>
    </xdr:to>
    <xdr:sp macro="" textlink="">
      <xdr:nvSpPr>
        <xdr:cNvPr id="26692" name="AutoShape 68" descr="Liberia Flag">
          <a:extLst>
            <a:ext uri="{FF2B5EF4-FFF2-40B4-BE49-F238E27FC236}">
              <a16:creationId xmlns:a16="http://schemas.microsoft.com/office/drawing/2014/main" id="{9208A9AE-2F9A-D971-5439-B37BC11B965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55194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355600</xdr:colOff>
      <xdr:row>70</xdr:row>
      <xdr:rowOff>25400</xdr:rowOff>
    </xdr:to>
    <xdr:sp macro="" textlink="">
      <xdr:nvSpPr>
        <xdr:cNvPr id="26693" name="AutoShape 69" descr="Cambodia Flag">
          <a:extLst>
            <a:ext uri="{FF2B5EF4-FFF2-40B4-BE49-F238E27FC236}">
              <a16:creationId xmlns:a16="http://schemas.microsoft.com/office/drawing/2014/main" id="{9938CD41-27B1-94AE-EFB6-3ECE9EC56BFB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57480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355600</xdr:colOff>
      <xdr:row>71</xdr:row>
      <xdr:rowOff>25400</xdr:rowOff>
    </xdr:to>
    <xdr:sp macro="" textlink="">
      <xdr:nvSpPr>
        <xdr:cNvPr id="26694" name="AutoShape 70" descr="Tajikistan Flag">
          <a:extLst>
            <a:ext uri="{FF2B5EF4-FFF2-40B4-BE49-F238E27FC236}">
              <a16:creationId xmlns:a16="http://schemas.microsoft.com/office/drawing/2014/main" id="{8D477B44-14D9-93E1-E92C-E5BCA90AF96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59766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355600</xdr:colOff>
      <xdr:row>72</xdr:row>
      <xdr:rowOff>25400</xdr:rowOff>
    </xdr:to>
    <xdr:sp macro="" textlink="">
      <xdr:nvSpPr>
        <xdr:cNvPr id="26695" name="AutoShape 71" descr="Angola Flag">
          <a:extLst>
            <a:ext uri="{FF2B5EF4-FFF2-40B4-BE49-F238E27FC236}">
              <a16:creationId xmlns:a16="http://schemas.microsoft.com/office/drawing/2014/main" id="{AA85FE1D-ABCC-EFE5-A20B-0A3FD6AC96D9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6205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355600</xdr:colOff>
      <xdr:row>73</xdr:row>
      <xdr:rowOff>25400</xdr:rowOff>
    </xdr:to>
    <xdr:sp macro="" textlink="">
      <xdr:nvSpPr>
        <xdr:cNvPr id="26696" name="AutoShape 72" descr="Tunisia Flag">
          <a:extLst>
            <a:ext uri="{FF2B5EF4-FFF2-40B4-BE49-F238E27FC236}">
              <a16:creationId xmlns:a16="http://schemas.microsoft.com/office/drawing/2014/main" id="{77F4D53A-C9CF-6E65-967C-33D0204DE7A7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6433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355600</xdr:colOff>
      <xdr:row>74</xdr:row>
      <xdr:rowOff>25400</xdr:rowOff>
    </xdr:to>
    <xdr:sp macro="" textlink="">
      <xdr:nvSpPr>
        <xdr:cNvPr id="26697" name="AutoShape 73" descr="Paraguay Flag">
          <a:extLst>
            <a:ext uri="{FF2B5EF4-FFF2-40B4-BE49-F238E27FC236}">
              <a16:creationId xmlns:a16="http://schemas.microsoft.com/office/drawing/2014/main" id="{D674F417-A6B8-CC0A-B1EC-94E95601B55C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66624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355600</xdr:colOff>
      <xdr:row>75</xdr:row>
      <xdr:rowOff>25400</xdr:rowOff>
    </xdr:to>
    <xdr:sp macro="" textlink="">
      <xdr:nvSpPr>
        <xdr:cNvPr id="26698" name="AutoShape 74" descr="Thailand Flag">
          <a:extLst>
            <a:ext uri="{FF2B5EF4-FFF2-40B4-BE49-F238E27FC236}">
              <a16:creationId xmlns:a16="http://schemas.microsoft.com/office/drawing/2014/main" id="{1F3950AC-3972-E6BA-C4F3-06FBF8310894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68910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355600</xdr:colOff>
      <xdr:row>76</xdr:row>
      <xdr:rowOff>25400</xdr:rowOff>
    </xdr:to>
    <xdr:sp macro="" textlink="">
      <xdr:nvSpPr>
        <xdr:cNvPr id="26699" name="AutoShape 75" descr="Armenia Flag">
          <a:extLst>
            <a:ext uri="{FF2B5EF4-FFF2-40B4-BE49-F238E27FC236}">
              <a16:creationId xmlns:a16="http://schemas.microsoft.com/office/drawing/2014/main" id="{88C3FF4B-3EF6-7AA1-35C0-4454565575C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71196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355600</xdr:colOff>
      <xdr:row>77</xdr:row>
      <xdr:rowOff>25400</xdr:rowOff>
    </xdr:to>
    <xdr:sp macro="" textlink="">
      <xdr:nvSpPr>
        <xdr:cNvPr id="26700" name="AutoShape 76" descr="Kyrgyzstan Flag">
          <a:extLst>
            <a:ext uri="{FF2B5EF4-FFF2-40B4-BE49-F238E27FC236}">
              <a16:creationId xmlns:a16="http://schemas.microsoft.com/office/drawing/2014/main" id="{CA2E8F2C-B271-2FAC-EE80-4D21CCA6E009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7348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355600</xdr:colOff>
      <xdr:row>78</xdr:row>
      <xdr:rowOff>25400</xdr:rowOff>
    </xdr:to>
    <xdr:sp macro="" textlink="">
      <xdr:nvSpPr>
        <xdr:cNvPr id="26701" name="AutoShape 77" descr="Morocco Flag">
          <a:extLst>
            <a:ext uri="{FF2B5EF4-FFF2-40B4-BE49-F238E27FC236}">
              <a16:creationId xmlns:a16="http://schemas.microsoft.com/office/drawing/2014/main" id="{BBB337BF-57E5-5C50-78B7-66EE82E773CE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7576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355600</xdr:colOff>
      <xdr:row>79</xdr:row>
      <xdr:rowOff>25400</xdr:rowOff>
    </xdr:to>
    <xdr:sp macro="" textlink="">
      <xdr:nvSpPr>
        <xdr:cNvPr id="26702" name="AutoShape 78" descr="Malawi Flag">
          <a:extLst>
            <a:ext uri="{FF2B5EF4-FFF2-40B4-BE49-F238E27FC236}">
              <a16:creationId xmlns:a16="http://schemas.microsoft.com/office/drawing/2014/main" id="{83AA90C3-1226-F8BE-EB4A-46EEDD34F4C1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78054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355600</xdr:colOff>
      <xdr:row>80</xdr:row>
      <xdr:rowOff>25400</xdr:rowOff>
    </xdr:to>
    <xdr:sp macro="" textlink="">
      <xdr:nvSpPr>
        <xdr:cNvPr id="26703" name="AutoShape 79" descr="Nepal Flag">
          <a:extLst>
            <a:ext uri="{FF2B5EF4-FFF2-40B4-BE49-F238E27FC236}">
              <a16:creationId xmlns:a16="http://schemas.microsoft.com/office/drawing/2014/main" id="{B113398B-4C53-6362-0C9E-96AEE1462959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80340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355600</xdr:colOff>
      <xdr:row>81</xdr:row>
      <xdr:rowOff>25400</xdr:rowOff>
    </xdr:to>
    <xdr:sp macro="" textlink="">
      <xdr:nvSpPr>
        <xdr:cNvPr id="26704" name="AutoShape 80" descr="Bahrain Flag">
          <a:extLst>
            <a:ext uri="{FF2B5EF4-FFF2-40B4-BE49-F238E27FC236}">
              <a16:creationId xmlns:a16="http://schemas.microsoft.com/office/drawing/2014/main" id="{E02BCED9-897F-DDF8-C823-3E486F52B8A1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82626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355600</xdr:colOff>
      <xdr:row>82</xdr:row>
      <xdr:rowOff>25400</xdr:rowOff>
    </xdr:to>
    <xdr:sp macro="" textlink="">
      <xdr:nvSpPr>
        <xdr:cNvPr id="26705" name="AutoShape 81" descr="Turkmenistan Flag">
          <a:extLst>
            <a:ext uri="{FF2B5EF4-FFF2-40B4-BE49-F238E27FC236}">
              <a16:creationId xmlns:a16="http://schemas.microsoft.com/office/drawing/2014/main" id="{E9D7471E-3F8E-4921-B5F9-DF49DFB3153A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8491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355600</xdr:colOff>
      <xdr:row>83</xdr:row>
      <xdr:rowOff>25400</xdr:rowOff>
    </xdr:to>
    <xdr:sp macro="" textlink="">
      <xdr:nvSpPr>
        <xdr:cNvPr id="26706" name="AutoShape 82" descr="Gambia Flag">
          <a:extLst>
            <a:ext uri="{FF2B5EF4-FFF2-40B4-BE49-F238E27FC236}">
              <a16:creationId xmlns:a16="http://schemas.microsoft.com/office/drawing/2014/main" id="{B11A8FFD-E86C-14F6-510A-37DC793C606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8719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355600</xdr:colOff>
      <xdr:row>84</xdr:row>
      <xdr:rowOff>25400</xdr:rowOff>
    </xdr:to>
    <xdr:sp macro="" textlink="">
      <xdr:nvSpPr>
        <xdr:cNvPr id="26707" name="AutoShape 83" descr="Senegal Flag">
          <a:extLst>
            <a:ext uri="{FF2B5EF4-FFF2-40B4-BE49-F238E27FC236}">
              <a16:creationId xmlns:a16="http://schemas.microsoft.com/office/drawing/2014/main" id="{BFFFA5C8-FFDE-679F-00BB-8ABCEA28D8F9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89484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355600</xdr:colOff>
      <xdr:row>85</xdr:row>
      <xdr:rowOff>25400</xdr:rowOff>
    </xdr:to>
    <xdr:sp macro="" textlink="">
      <xdr:nvSpPr>
        <xdr:cNvPr id="26708" name="AutoShape 84" descr="Guinea-Bissau Flag">
          <a:extLst>
            <a:ext uri="{FF2B5EF4-FFF2-40B4-BE49-F238E27FC236}">
              <a16:creationId xmlns:a16="http://schemas.microsoft.com/office/drawing/2014/main" id="{CEF81D2D-E8FC-2E2A-C24E-F56C983F13F2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91770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355600</xdr:colOff>
      <xdr:row>86</xdr:row>
      <xdr:rowOff>25400</xdr:rowOff>
    </xdr:to>
    <xdr:sp macro="" textlink="">
      <xdr:nvSpPr>
        <xdr:cNvPr id="26709" name="AutoShape 85" descr="France Flag">
          <a:extLst>
            <a:ext uri="{FF2B5EF4-FFF2-40B4-BE49-F238E27FC236}">
              <a16:creationId xmlns:a16="http://schemas.microsoft.com/office/drawing/2014/main" id="{4DBF8BD5-9167-2987-A46F-802FC253700A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94056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355600</xdr:colOff>
      <xdr:row>87</xdr:row>
      <xdr:rowOff>25400</xdr:rowOff>
    </xdr:to>
    <xdr:sp macro="" textlink="">
      <xdr:nvSpPr>
        <xdr:cNvPr id="26710" name="AutoShape 86" descr="Trinidad and Tobago Flag">
          <a:extLst>
            <a:ext uri="{FF2B5EF4-FFF2-40B4-BE49-F238E27FC236}">
              <a16:creationId xmlns:a16="http://schemas.microsoft.com/office/drawing/2014/main" id="{F0800454-7EC5-FD38-92B1-B312EB6201C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9634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355600</xdr:colOff>
      <xdr:row>88</xdr:row>
      <xdr:rowOff>25400</xdr:rowOff>
    </xdr:to>
    <xdr:sp macro="" textlink="">
      <xdr:nvSpPr>
        <xdr:cNvPr id="26711" name="AutoShape 87" descr="China Flag">
          <a:extLst>
            <a:ext uri="{FF2B5EF4-FFF2-40B4-BE49-F238E27FC236}">
              <a16:creationId xmlns:a16="http://schemas.microsoft.com/office/drawing/2014/main" id="{A6B0CDB4-D6ED-778C-32EA-06D696F0531A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9862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355600</xdr:colOff>
      <xdr:row>89</xdr:row>
      <xdr:rowOff>25400</xdr:rowOff>
    </xdr:to>
    <xdr:sp macro="" textlink="">
      <xdr:nvSpPr>
        <xdr:cNvPr id="26712" name="AutoShape 88" descr="Cyprus Flag">
          <a:extLst>
            <a:ext uri="{FF2B5EF4-FFF2-40B4-BE49-F238E27FC236}">
              <a16:creationId xmlns:a16="http://schemas.microsoft.com/office/drawing/2014/main" id="{E903B38B-C47E-4D12-4D4C-458086DF88D8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00914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355600</xdr:colOff>
      <xdr:row>90</xdr:row>
      <xdr:rowOff>25400</xdr:rowOff>
    </xdr:to>
    <xdr:sp macro="" textlink="">
      <xdr:nvSpPr>
        <xdr:cNvPr id="26713" name="AutoShape 89" descr="Algeria Flag">
          <a:extLst>
            <a:ext uri="{FF2B5EF4-FFF2-40B4-BE49-F238E27FC236}">
              <a16:creationId xmlns:a16="http://schemas.microsoft.com/office/drawing/2014/main" id="{7F3FF95C-BD95-E4CA-92CD-A8E42AA8DCD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03200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355600</xdr:colOff>
      <xdr:row>91</xdr:row>
      <xdr:rowOff>25400</xdr:rowOff>
    </xdr:to>
    <xdr:sp macro="" textlink="">
      <xdr:nvSpPr>
        <xdr:cNvPr id="26714" name="AutoShape 90" descr="Jamaica Flag">
          <a:extLst>
            <a:ext uri="{FF2B5EF4-FFF2-40B4-BE49-F238E27FC236}">
              <a16:creationId xmlns:a16="http://schemas.microsoft.com/office/drawing/2014/main" id="{C5E12FB7-D86F-EB59-BE50-45B275EA0046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05486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355600</xdr:colOff>
      <xdr:row>92</xdr:row>
      <xdr:rowOff>25400</xdr:rowOff>
    </xdr:to>
    <xdr:sp macro="" textlink="">
      <xdr:nvSpPr>
        <xdr:cNvPr id="26715" name="AutoShape 91" descr="Rwanda Flag">
          <a:extLst>
            <a:ext uri="{FF2B5EF4-FFF2-40B4-BE49-F238E27FC236}">
              <a16:creationId xmlns:a16="http://schemas.microsoft.com/office/drawing/2014/main" id="{0817B264-F17D-2CEC-232C-DD9D206781A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0777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355600</xdr:colOff>
      <xdr:row>93</xdr:row>
      <xdr:rowOff>25400</xdr:rowOff>
    </xdr:to>
    <xdr:sp macro="" textlink="">
      <xdr:nvSpPr>
        <xdr:cNvPr id="26716" name="AutoShape 92" descr="Bangladesh Flag">
          <a:extLst>
            <a:ext uri="{FF2B5EF4-FFF2-40B4-BE49-F238E27FC236}">
              <a16:creationId xmlns:a16="http://schemas.microsoft.com/office/drawing/2014/main" id="{E54F333E-1B22-53BD-783F-82C5F7B8BE1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1005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355600</xdr:colOff>
      <xdr:row>94</xdr:row>
      <xdr:rowOff>25400</xdr:rowOff>
    </xdr:to>
    <xdr:sp macro="" textlink="">
      <xdr:nvSpPr>
        <xdr:cNvPr id="26717" name="AutoShape 93" descr="Equatorial Guinea Flag">
          <a:extLst>
            <a:ext uri="{FF2B5EF4-FFF2-40B4-BE49-F238E27FC236}">
              <a16:creationId xmlns:a16="http://schemas.microsoft.com/office/drawing/2014/main" id="{0A865FCA-DCB2-840C-4380-6BECB65B243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12344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355600</xdr:colOff>
      <xdr:row>95</xdr:row>
      <xdr:rowOff>25400</xdr:rowOff>
    </xdr:to>
    <xdr:sp macro="" textlink="">
      <xdr:nvSpPr>
        <xdr:cNvPr id="26718" name="AutoShape 94" descr="Mauritania Flag">
          <a:extLst>
            <a:ext uri="{FF2B5EF4-FFF2-40B4-BE49-F238E27FC236}">
              <a16:creationId xmlns:a16="http://schemas.microsoft.com/office/drawing/2014/main" id="{3877BE6F-168A-2D5E-F414-9DFFD965853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14630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355600</xdr:colOff>
      <xdr:row>96</xdr:row>
      <xdr:rowOff>25400</xdr:rowOff>
    </xdr:to>
    <xdr:sp macro="" textlink="">
      <xdr:nvSpPr>
        <xdr:cNvPr id="26719" name="AutoShape 95" descr="Panama Flag">
          <a:extLst>
            <a:ext uri="{FF2B5EF4-FFF2-40B4-BE49-F238E27FC236}">
              <a16:creationId xmlns:a16="http://schemas.microsoft.com/office/drawing/2014/main" id="{6081C6D4-E1E6-1CD7-0D7B-94174D26E82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16916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355600</xdr:colOff>
      <xdr:row>97</xdr:row>
      <xdr:rowOff>25400</xdr:rowOff>
    </xdr:to>
    <xdr:sp macro="" textlink="">
      <xdr:nvSpPr>
        <xdr:cNvPr id="26720" name="AutoShape 96" descr="Dominican Republic Flag">
          <a:extLst>
            <a:ext uri="{FF2B5EF4-FFF2-40B4-BE49-F238E27FC236}">
              <a16:creationId xmlns:a16="http://schemas.microsoft.com/office/drawing/2014/main" id="{A096EEA6-4D84-5056-11A1-DA089DC53744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1920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355600</xdr:colOff>
      <xdr:row>98</xdr:row>
      <xdr:rowOff>25400</xdr:rowOff>
    </xdr:to>
    <xdr:sp macro="" textlink="">
      <xdr:nvSpPr>
        <xdr:cNvPr id="26721" name="AutoShape 97" descr="Cuba Flag">
          <a:extLst>
            <a:ext uri="{FF2B5EF4-FFF2-40B4-BE49-F238E27FC236}">
              <a16:creationId xmlns:a16="http://schemas.microsoft.com/office/drawing/2014/main" id="{1E4EB1B8-1457-2BE5-4F93-8917009FA911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2148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355600</xdr:colOff>
      <xdr:row>99</xdr:row>
      <xdr:rowOff>25400</xdr:rowOff>
    </xdr:to>
    <xdr:sp macro="" textlink="">
      <xdr:nvSpPr>
        <xdr:cNvPr id="26722" name="AutoShape 98" descr="Peru Flag">
          <a:extLst>
            <a:ext uri="{FF2B5EF4-FFF2-40B4-BE49-F238E27FC236}">
              <a16:creationId xmlns:a16="http://schemas.microsoft.com/office/drawing/2014/main" id="{DE171E81-43CE-79D4-D80E-48732BA5368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23774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355600</xdr:colOff>
      <xdr:row>100</xdr:row>
      <xdr:rowOff>25400</xdr:rowOff>
    </xdr:to>
    <xdr:sp macro="" textlink="">
      <xdr:nvSpPr>
        <xdr:cNvPr id="26723" name="AutoShape 99" descr="Sri Lanka Flag">
          <a:extLst>
            <a:ext uri="{FF2B5EF4-FFF2-40B4-BE49-F238E27FC236}">
              <a16:creationId xmlns:a16="http://schemas.microsoft.com/office/drawing/2014/main" id="{6B94DC35-57B9-7C7A-CDA0-B30F014790C6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26060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355600</xdr:colOff>
      <xdr:row>101</xdr:row>
      <xdr:rowOff>25400</xdr:rowOff>
    </xdr:to>
    <xdr:sp macro="" textlink="">
      <xdr:nvSpPr>
        <xdr:cNvPr id="26724" name="AutoShape 100" descr="Georgia Flag">
          <a:extLst>
            <a:ext uri="{FF2B5EF4-FFF2-40B4-BE49-F238E27FC236}">
              <a16:creationId xmlns:a16="http://schemas.microsoft.com/office/drawing/2014/main" id="{41C7B713-7DA3-5489-53CD-B59788707814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28346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101</xdr:row>
      <xdr:rowOff>0</xdr:rowOff>
    </xdr:from>
    <xdr:to>
      <xdr:col>2</xdr:col>
      <xdr:colOff>355600</xdr:colOff>
      <xdr:row>102</xdr:row>
      <xdr:rowOff>25400</xdr:rowOff>
    </xdr:to>
    <xdr:sp macro="" textlink="">
      <xdr:nvSpPr>
        <xdr:cNvPr id="26725" name="AutoShape 101" descr="Saudi Arabia Flag">
          <a:extLst>
            <a:ext uri="{FF2B5EF4-FFF2-40B4-BE49-F238E27FC236}">
              <a16:creationId xmlns:a16="http://schemas.microsoft.com/office/drawing/2014/main" id="{D706D3E5-11E9-1B30-27D0-D6BC691BFE3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3063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355600</xdr:colOff>
      <xdr:row>103</xdr:row>
      <xdr:rowOff>25400</xdr:rowOff>
    </xdr:to>
    <xdr:sp macro="" textlink="">
      <xdr:nvSpPr>
        <xdr:cNvPr id="26726" name="AutoShape 102" descr="Eswatini Flag">
          <a:extLst>
            <a:ext uri="{FF2B5EF4-FFF2-40B4-BE49-F238E27FC236}">
              <a16:creationId xmlns:a16="http://schemas.microsoft.com/office/drawing/2014/main" id="{1172954B-751A-FC2B-1EA2-10C8436A4B5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3291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103</xdr:row>
      <xdr:rowOff>0</xdr:rowOff>
    </xdr:from>
    <xdr:to>
      <xdr:col>2</xdr:col>
      <xdr:colOff>355600</xdr:colOff>
      <xdr:row>104</xdr:row>
      <xdr:rowOff>25400</xdr:rowOff>
    </xdr:to>
    <xdr:sp macro="" textlink="">
      <xdr:nvSpPr>
        <xdr:cNvPr id="26727" name="AutoShape 103" descr="Philippines Flag">
          <a:extLst>
            <a:ext uri="{FF2B5EF4-FFF2-40B4-BE49-F238E27FC236}">
              <a16:creationId xmlns:a16="http://schemas.microsoft.com/office/drawing/2014/main" id="{E238FBA7-9144-B271-F35D-5AD8C5B6B1AF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35204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104</xdr:row>
      <xdr:rowOff>0</xdr:rowOff>
    </xdr:from>
    <xdr:to>
      <xdr:col>2</xdr:col>
      <xdr:colOff>355600</xdr:colOff>
      <xdr:row>105</xdr:row>
      <xdr:rowOff>25400</xdr:rowOff>
    </xdr:to>
    <xdr:sp macro="" textlink="">
      <xdr:nvSpPr>
        <xdr:cNvPr id="26728" name="AutoShape 104" descr="Egypt Flag">
          <a:extLst>
            <a:ext uri="{FF2B5EF4-FFF2-40B4-BE49-F238E27FC236}">
              <a16:creationId xmlns:a16="http://schemas.microsoft.com/office/drawing/2014/main" id="{A79B4B67-E5A0-5F4F-4DF4-1BE7E5BE6E69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37490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105</xdr:row>
      <xdr:rowOff>0</xdr:rowOff>
    </xdr:from>
    <xdr:to>
      <xdr:col>2</xdr:col>
      <xdr:colOff>355600</xdr:colOff>
      <xdr:row>106</xdr:row>
      <xdr:rowOff>25400</xdr:rowOff>
    </xdr:to>
    <xdr:sp macro="" textlink="">
      <xdr:nvSpPr>
        <xdr:cNvPr id="26729" name="AutoShape 105" descr="Azerbaijan Flag">
          <a:extLst>
            <a:ext uri="{FF2B5EF4-FFF2-40B4-BE49-F238E27FC236}">
              <a16:creationId xmlns:a16="http://schemas.microsoft.com/office/drawing/2014/main" id="{D83506FA-08D9-2FEB-98B0-3CBC4A150EF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39776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106</xdr:row>
      <xdr:rowOff>0</xdr:rowOff>
    </xdr:from>
    <xdr:to>
      <xdr:col>2</xdr:col>
      <xdr:colOff>355600</xdr:colOff>
      <xdr:row>107</xdr:row>
      <xdr:rowOff>25400</xdr:rowOff>
    </xdr:to>
    <xdr:sp macro="" textlink="">
      <xdr:nvSpPr>
        <xdr:cNvPr id="26730" name="AutoShape 106" descr="Mozambique Flag">
          <a:extLst>
            <a:ext uri="{FF2B5EF4-FFF2-40B4-BE49-F238E27FC236}">
              <a16:creationId xmlns:a16="http://schemas.microsoft.com/office/drawing/2014/main" id="{50D36CFA-D9AC-37B8-98C4-012F042A0DB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4206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355600</xdr:colOff>
      <xdr:row>108</xdr:row>
      <xdr:rowOff>25400</xdr:rowOff>
    </xdr:to>
    <xdr:sp macro="" textlink="">
      <xdr:nvSpPr>
        <xdr:cNvPr id="26731" name="AutoShape 107" descr="El Salvador Flag">
          <a:extLst>
            <a:ext uri="{FF2B5EF4-FFF2-40B4-BE49-F238E27FC236}">
              <a16:creationId xmlns:a16="http://schemas.microsoft.com/office/drawing/2014/main" id="{147EBCE6-C6D8-9D1D-080C-CE95A9393903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4434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108</xdr:row>
      <xdr:rowOff>0</xdr:rowOff>
    </xdr:from>
    <xdr:to>
      <xdr:col>2</xdr:col>
      <xdr:colOff>355600</xdr:colOff>
      <xdr:row>109</xdr:row>
      <xdr:rowOff>25400</xdr:rowOff>
    </xdr:to>
    <xdr:sp macro="" textlink="">
      <xdr:nvSpPr>
        <xdr:cNvPr id="26732" name="AutoShape 108" descr="Ivory Coast Flag">
          <a:extLst>
            <a:ext uri="{FF2B5EF4-FFF2-40B4-BE49-F238E27FC236}">
              <a16:creationId xmlns:a16="http://schemas.microsoft.com/office/drawing/2014/main" id="{4A103766-EA99-A0CF-1DC1-1D4322612EAF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46634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109</xdr:row>
      <xdr:rowOff>0</xdr:rowOff>
    </xdr:from>
    <xdr:to>
      <xdr:col>2</xdr:col>
      <xdr:colOff>355600</xdr:colOff>
      <xdr:row>110</xdr:row>
      <xdr:rowOff>25400</xdr:rowOff>
    </xdr:to>
    <xdr:sp macro="" textlink="">
      <xdr:nvSpPr>
        <xdr:cNvPr id="26733" name="AutoShape 109" descr="Republic of the Congo Flag">
          <a:extLst>
            <a:ext uri="{FF2B5EF4-FFF2-40B4-BE49-F238E27FC236}">
              <a16:creationId xmlns:a16="http://schemas.microsoft.com/office/drawing/2014/main" id="{C610F61F-6B8D-CD34-CEFD-98BEB0D151E8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48920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110</xdr:row>
      <xdr:rowOff>0</xdr:rowOff>
    </xdr:from>
    <xdr:to>
      <xdr:col>2</xdr:col>
      <xdr:colOff>355600</xdr:colOff>
      <xdr:row>111</xdr:row>
      <xdr:rowOff>25400</xdr:rowOff>
    </xdr:to>
    <xdr:sp macro="" textlink="">
      <xdr:nvSpPr>
        <xdr:cNvPr id="26734" name="AutoShape 110" descr="Guyana Flag">
          <a:extLst>
            <a:ext uri="{FF2B5EF4-FFF2-40B4-BE49-F238E27FC236}">
              <a16:creationId xmlns:a16="http://schemas.microsoft.com/office/drawing/2014/main" id="{787DABD9-9613-E553-0C65-56D37448A51F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51206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111</xdr:row>
      <xdr:rowOff>0</xdr:rowOff>
    </xdr:from>
    <xdr:to>
      <xdr:col>2</xdr:col>
      <xdr:colOff>355600</xdr:colOff>
      <xdr:row>112</xdr:row>
      <xdr:rowOff>25400</xdr:rowOff>
    </xdr:to>
    <xdr:sp macro="" textlink="">
      <xdr:nvSpPr>
        <xdr:cNvPr id="26735" name="AutoShape 111" descr="Belarus Flag">
          <a:extLst>
            <a:ext uri="{FF2B5EF4-FFF2-40B4-BE49-F238E27FC236}">
              <a16:creationId xmlns:a16="http://schemas.microsoft.com/office/drawing/2014/main" id="{447FFE96-38FA-FE32-DC94-C432B6578FEF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5349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355600</xdr:colOff>
      <xdr:row>113</xdr:row>
      <xdr:rowOff>25400</xdr:rowOff>
    </xdr:to>
    <xdr:sp macro="" textlink="">
      <xdr:nvSpPr>
        <xdr:cNvPr id="26736" name="AutoShape 112" descr="Nicaragua Flag">
          <a:extLst>
            <a:ext uri="{FF2B5EF4-FFF2-40B4-BE49-F238E27FC236}">
              <a16:creationId xmlns:a16="http://schemas.microsoft.com/office/drawing/2014/main" id="{EA71C2D1-0769-01CF-0928-81E34E96654F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5577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113</xdr:row>
      <xdr:rowOff>0</xdr:rowOff>
    </xdr:from>
    <xdr:to>
      <xdr:col>2</xdr:col>
      <xdr:colOff>355600</xdr:colOff>
      <xdr:row>114</xdr:row>
      <xdr:rowOff>25400</xdr:rowOff>
    </xdr:to>
    <xdr:sp macro="" textlink="">
      <xdr:nvSpPr>
        <xdr:cNvPr id="26737" name="AutoShape 113" descr="Benin Flag">
          <a:extLst>
            <a:ext uri="{FF2B5EF4-FFF2-40B4-BE49-F238E27FC236}">
              <a16:creationId xmlns:a16="http://schemas.microsoft.com/office/drawing/2014/main" id="{15D815AE-6AC2-90AF-D0D7-6E34036903C3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58064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114</xdr:row>
      <xdr:rowOff>0</xdr:rowOff>
    </xdr:from>
    <xdr:to>
      <xdr:col>2</xdr:col>
      <xdr:colOff>355600</xdr:colOff>
      <xdr:row>115</xdr:row>
      <xdr:rowOff>25400</xdr:rowOff>
    </xdr:to>
    <xdr:sp macro="" textlink="">
      <xdr:nvSpPr>
        <xdr:cNvPr id="26738" name="AutoShape 114" descr="Papua New Guinea Flag">
          <a:extLst>
            <a:ext uri="{FF2B5EF4-FFF2-40B4-BE49-F238E27FC236}">
              <a16:creationId xmlns:a16="http://schemas.microsoft.com/office/drawing/2014/main" id="{C3575668-2B58-B2F5-E882-D2212FCA91B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60350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115</xdr:row>
      <xdr:rowOff>0</xdr:rowOff>
    </xdr:from>
    <xdr:to>
      <xdr:col>2</xdr:col>
      <xdr:colOff>355600</xdr:colOff>
      <xdr:row>116</xdr:row>
      <xdr:rowOff>25400</xdr:rowOff>
    </xdr:to>
    <xdr:sp macro="" textlink="">
      <xdr:nvSpPr>
        <xdr:cNvPr id="26739" name="AutoShape 115" descr="India Flag">
          <a:extLst>
            <a:ext uri="{FF2B5EF4-FFF2-40B4-BE49-F238E27FC236}">
              <a16:creationId xmlns:a16="http://schemas.microsoft.com/office/drawing/2014/main" id="{5866F67D-7D4E-F6CA-6986-274773EB9D1F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62636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355600</xdr:colOff>
      <xdr:row>117</xdr:row>
      <xdr:rowOff>25400</xdr:rowOff>
    </xdr:to>
    <xdr:sp macro="" textlink="">
      <xdr:nvSpPr>
        <xdr:cNvPr id="26740" name="AutoShape 116" descr="Guatemala Flag">
          <a:extLst>
            <a:ext uri="{FF2B5EF4-FFF2-40B4-BE49-F238E27FC236}">
              <a16:creationId xmlns:a16="http://schemas.microsoft.com/office/drawing/2014/main" id="{541F229F-4FFC-9480-286A-FBABEE041C1B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6492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117</xdr:row>
      <xdr:rowOff>0</xdr:rowOff>
    </xdr:from>
    <xdr:to>
      <xdr:col>2</xdr:col>
      <xdr:colOff>355600</xdr:colOff>
      <xdr:row>118</xdr:row>
      <xdr:rowOff>25400</xdr:rowOff>
    </xdr:to>
    <xdr:sp macro="" textlink="">
      <xdr:nvSpPr>
        <xdr:cNvPr id="26741" name="AutoShape 117" descr="Gabon Flag">
          <a:extLst>
            <a:ext uri="{FF2B5EF4-FFF2-40B4-BE49-F238E27FC236}">
              <a16:creationId xmlns:a16="http://schemas.microsoft.com/office/drawing/2014/main" id="{AFF82EC9-608E-EF41-7AD9-D8F103320CD7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6720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118</xdr:row>
      <xdr:rowOff>0</xdr:rowOff>
    </xdr:from>
    <xdr:to>
      <xdr:col>2</xdr:col>
      <xdr:colOff>355600</xdr:colOff>
      <xdr:row>119</xdr:row>
      <xdr:rowOff>25400</xdr:rowOff>
    </xdr:to>
    <xdr:sp macro="" textlink="">
      <xdr:nvSpPr>
        <xdr:cNvPr id="26742" name="AutoShape 118" descr="Djibouti Flag">
          <a:extLst>
            <a:ext uri="{FF2B5EF4-FFF2-40B4-BE49-F238E27FC236}">
              <a16:creationId xmlns:a16="http://schemas.microsoft.com/office/drawing/2014/main" id="{E618624B-954B-02F8-61E3-EC089A62CD8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69494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119</xdr:row>
      <xdr:rowOff>0</xdr:rowOff>
    </xdr:from>
    <xdr:to>
      <xdr:col>2</xdr:col>
      <xdr:colOff>355600</xdr:colOff>
      <xdr:row>120</xdr:row>
      <xdr:rowOff>25400</xdr:rowOff>
    </xdr:to>
    <xdr:sp macro="" textlink="">
      <xdr:nvSpPr>
        <xdr:cNvPr id="26743" name="AutoShape 119" descr="Togo Flag">
          <a:extLst>
            <a:ext uri="{FF2B5EF4-FFF2-40B4-BE49-F238E27FC236}">
              <a16:creationId xmlns:a16="http://schemas.microsoft.com/office/drawing/2014/main" id="{5F755A1E-2D4C-A648-5F56-0CE2EC883EB8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71780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120</xdr:row>
      <xdr:rowOff>0</xdr:rowOff>
    </xdr:from>
    <xdr:to>
      <xdr:col>2</xdr:col>
      <xdr:colOff>355600</xdr:colOff>
      <xdr:row>121</xdr:row>
      <xdr:rowOff>25400</xdr:rowOff>
    </xdr:to>
    <xdr:sp macro="" textlink="">
      <xdr:nvSpPr>
        <xdr:cNvPr id="26744" name="AutoShape 120" descr="Zimbabwe Flag">
          <a:extLst>
            <a:ext uri="{FF2B5EF4-FFF2-40B4-BE49-F238E27FC236}">
              <a16:creationId xmlns:a16="http://schemas.microsoft.com/office/drawing/2014/main" id="{B2B20283-1A84-7607-7382-154E831FD099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74066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121</xdr:row>
      <xdr:rowOff>0</xdr:rowOff>
    </xdr:from>
    <xdr:to>
      <xdr:col>2</xdr:col>
      <xdr:colOff>355600</xdr:colOff>
      <xdr:row>122</xdr:row>
      <xdr:rowOff>25400</xdr:rowOff>
    </xdr:to>
    <xdr:sp macro="" textlink="">
      <xdr:nvSpPr>
        <xdr:cNvPr id="26745" name="AutoShape 121" descr="Kenya Flag">
          <a:extLst>
            <a:ext uri="{FF2B5EF4-FFF2-40B4-BE49-F238E27FC236}">
              <a16:creationId xmlns:a16="http://schemas.microsoft.com/office/drawing/2014/main" id="{83CC0DF9-6604-C8CD-7E96-FB0EA23CE1FF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7635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122</xdr:row>
      <xdr:rowOff>0</xdr:rowOff>
    </xdr:from>
    <xdr:to>
      <xdr:col>2</xdr:col>
      <xdr:colOff>355600</xdr:colOff>
      <xdr:row>123</xdr:row>
      <xdr:rowOff>25400</xdr:rowOff>
    </xdr:to>
    <xdr:sp macro="" textlink="">
      <xdr:nvSpPr>
        <xdr:cNvPr id="26746" name="AutoShape 122" descr="Honduras Flag">
          <a:extLst>
            <a:ext uri="{FF2B5EF4-FFF2-40B4-BE49-F238E27FC236}">
              <a16:creationId xmlns:a16="http://schemas.microsoft.com/office/drawing/2014/main" id="{6F15600C-D087-21AC-B995-AE2AEF61FF47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7863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123</xdr:row>
      <xdr:rowOff>0</xdr:rowOff>
    </xdr:from>
    <xdr:to>
      <xdr:col>2</xdr:col>
      <xdr:colOff>355600</xdr:colOff>
      <xdr:row>124</xdr:row>
      <xdr:rowOff>25400</xdr:rowOff>
    </xdr:to>
    <xdr:sp macro="" textlink="">
      <xdr:nvSpPr>
        <xdr:cNvPr id="26747" name="AutoShape 123" descr="Guinea Flag">
          <a:extLst>
            <a:ext uri="{FF2B5EF4-FFF2-40B4-BE49-F238E27FC236}">
              <a16:creationId xmlns:a16="http://schemas.microsoft.com/office/drawing/2014/main" id="{08B86478-70F6-0BC8-E8BF-146113B43C93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80924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124</xdr:row>
      <xdr:rowOff>0</xdr:rowOff>
    </xdr:from>
    <xdr:to>
      <xdr:col>2</xdr:col>
      <xdr:colOff>355600</xdr:colOff>
      <xdr:row>125</xdr:row>
      <xdr:rowOff>25400</xdr:rowOff>
    </xdr:to>
    <xdr:sp macro="" textlink="">
      <xdr:nvSpPr>
        <xdr:cNvPr id="26748" name="AutoShape 124" descr="Lesotho Flag">
          <a:extLst>
            <a:ext uri="{FF2B5EF4-FFF2-40B4-BE49-F238E27FC236}">
              <a16:creationId xmlns:a16="http://schemas.microsoft.com/office/drawing/2014/main" id="{E76F6721-9760-ECD7-D1A9-F92CCC04DD27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83210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125</xdr:row>
      <xdr:rowOff>0</xdr:rowOff>
    </xdr:from>
    <xdr:to>
      <xdr:col>2</xdr:col>
      <xdr:colOff>355600</xdr:colOff>
      <xdr:row>126</xdr:row>
      <xdr:rowOff>25400</xdr:rowOff>
    </xdr:to>
    <xdr:sp macro="" textlink="">
      <xdr:nvSpPr>
        <xdr:cNvPr id="26749" name="AutoShape 125" descr="Uganda Flag">
          <a:extLst>
            <a:ext uri="{FF2B5EF4-FFF2-40B4-BE49-F238E27FC236}">
              <a16:creationId xmlns:a16="http://schemas.microsoft.com/office/drawing/2014/main" id="{F74D3B26-91BF-D96D-1086-E7D6B68EB50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85496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126</xdr:row>
      <xdr:rowOff>0</xdr:rowOff>
    </xdr:from>
    <xdr:to>
      <xdr:col>2</xdr:col>
      <xdr:colOff>355600</xdr:colOff>
      <xdr:row>127</xdr:row>
      <xdr:rowOff>25400</xdr:rowOff>
    </xdr:to>
    <xdr:sp macro="" textlink="">
      <xdr:nvSpPr>
        <xdr:cNvPr id="26750" name="AutoShape 126" descr="South Africa Flag">
          <a:extLst>
            <a:ext uri="{FF2B5EF4-FFF2-40B4-BE49-F238E27FC236}">
              <a16:creationId xmlns:a16="http://schemas.microsoft.com/office/drawing/2014/main" id="{B1B4CC71-C3F2-4C3E-1F54-E3ABEA350A0A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8778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127</xdr:row>
      <xdr:rowOff>0</xdr:rowOff>
    </xdr:from>
    <xdr:to>
      <xdr:col>2</xdr:col>
      <xdr:colOff>355600</xdr:colOff>
      <xdr:row>128</xdr:row>
      <xdr:rowOff>25400</xdr:rowOff>
    </xdr:to>
    <xdr:sp macro="" textlink="">
      <xdr:nvSpPr>
        <xdr:cNvPr id="26751" name="AutoShape 127" descr="Libya Flag">
          <a:extLst>
            <a:ext uri="{FF2B5EF4-FFF2-40B4-BE49-F238E27FC236}">
              <a16:creationId xmlns:a16="http://schemas.microsoft.com/office/drawing/2014/main" id="{F6DE2DF3-D41F-12F5-BB8F-A119FBAAE73C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9006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128</xdr:row>
      <xdr:rowOff>0</xdr:rowOff>
    </xdr:from>
    <xdr:to>
      <xdr:col>2</xdr:col>
      <xdr:colOff>355600</xdr:colOff>
      <xdr:row>129</xdr:row>
      <xdr:rowOff>25400</xdr:rowOff>
    </xdr:to>
    <xdr:sp macro="" textlink="">
      <xdr:nvSpPr>
        <xdr:cNvPr id="26752" name="AutoShape 128" descr="Burundi Flag">
          <a:extLst>
            <a:ext uri="{FF2B5EF4-FFF2-40B4-BE49-F238E27FC236}">
              <a16:creationId xmlns:a16="http://schemas.microsoft.com/office/drawing/2014/main" id="{717B93BA-89AB-D04E-5EE2-C701E851C9EE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92354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129</xdr:row>
      <xdr:rowOff>0</xdr:rowOff>
    </xdr:from>
    <xdr:to>
      <xdr:col>2</xdr:col>
      <xdr:colOff>355600</xdr:colOff>
      <xdr:row>130</xdr:row>
      <xdr:rowOff>25400</xdr:rowOff>
    </xdr:to>
    <xdr:sp macro="" textlink="">
      <xdr:nvSpPr>
        <xdr:cNvPr id="26753" name="AutoShape 129" descr="Ecuador Flag">
          <a:extLst>
            <a:ext uri="{FF2B5EF4-FFF2-40B4-BE49-F238E27FC236}">
              <a16:creationId xmlns:a16="http://schemas.microsoft.com/office/drawing/2014/main" id="{1BB2FCC8-8B0B-7DF1-0DF2-21ADAC6A9EA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94640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130</xdr:row>
      <xdr:rowOff>0</xdr:rowOff>
    </xdr:from>
    <xdr:to>
      <xdr:col>2</xdr:col>
      <xdr:colOff>355600</xdr:colOff>
      <xdr:row>131</xdr:row>
      <xdr:rowOff>25400</xdr:rowOff>
    </xdr:to>
    <xdr:sp macro="" textlink="">
      <xdr:nvSpPr>
        <xdr:cNvPr id="26754" name="AutoShape 130" descr="Brazil Flag">
          <a:extLst>
            <a:ext uri="{FF2B5EF4-FFF2-40B4-BE49-F238E27FC236}">
              <a16:creationId xmlns:a16="http://schemas.microsoft.com/office/drawing/2014/main" id="{AC0FFA96-FE4C-D9C0-7BBA-4E058EADF5C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96926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131</xdr:row>
      <xdr:rowOff>0</xdr:rowOff>
    </xdr:from>
    <xdr:to>
      <xdr:col>2</xdr:col>
      <xdr:colOff>355600</xdr:colOff>
      <xdr:row>132</xdr:row>
      <xdr:rowOff>25400</xdr:rowOff>
    </xdr:to>
    <xdr:sp macro="" textlink="">
      <xdr:nvSpPr>
        <xdr:cNvPr id="26755" name="AutoShape 131" descr="United States Flag">
          <a:extLst>
            <a:ext uri="{FF2B5EF4-FFF2-40B4-BE49-F238E27FC236}">
              <a16:creationId xmlns:a16="http://schemas.microsoft.com/office/drawing/2014/main" id="{2E73BD5A-EBF1-CE60-61C0-54EE50DB9F9C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9921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132</xdr:row>
      <xdr:rowOff>0</xdr:rowOff>
    </xdr:from>
    <xdr:to>
      <xdr:col>2</xdr:col>
      <xdr:colOff>355600</xdr:colOff>
      <xdr:row>133</xdr:row>
      <xdr:rowOff>25400</xdr:rowOff>
    </xdr:to>
    <xdr:sp macro="" textlink="">
      <xdr:nvSpPr>
        <xdr:cNvPr id="26756" name="AutoShape 132" descr="Iran Flag">
          <a:extLst>
            <a:ext uri="{FF2B5EF4-FFF2-40B4-BE49-F238E27FC236}">
              <a16:creationId xmlns:a16="http://schemas.microsoft.com/office/drawing/2014/main" id="{E16BA254-6BA4-7629-73A0-63E303B9F5F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0149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133</xdr:row>
      <xdr:rowOff>0</xdr:rowOff>
    </xdr:from>
    <xdr:to>
      <xdr:col>2</xdr:col>
      <xdr:colOff>355600</xdr:colOff>
      <xdr:row>134</xdr:row>
      <xdr:rowOff>25400</xdr:rowOff>
    </xdr:to>
    <xdr:sp macro="" textlink="">
      <xdr:nvSpPr>
        <xdr:cNvPr id="26757" name="AutoShape 133" descr="Lebanon Flag">
          <a:extLst>
            <a:ext uri="{FF2B5EF4-FFF2-40B4-BE49-F238E27FC236}">
              <a16:creationId xmlns:a16="http://schemas.microsoft.com/office/drawing/2014/main" id="{7B07C1D3-EF3A-80D7-2DE7-8509E74C0337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03784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134</xdr:row>
      <xdr:rowOff>0</xdr:rowOff>
    </xdr:from>
    <xdr:to>
      <xdr:col>2</xdr:col>
      <xdr:colOff>355600</xdr:colOff>
      <xdr:row>135</xdr:row>
      <xdr:rowOff>25400</xdr:rowOff>
    </xdr:to>
    <xdr:sp macro="" textlink="">
      <xdr:nvSpPr>
        <xdr:cNvPr id="26758" name="AutoShape 134" descr="Chad Flag">
          <a:extLst>
            <a:ext uri="{FF2B5EF4-FFF2-40B4-BE49-F238E27FC236}">
              <a16:creationId xmlns:a16="http://schemas.microsoft.com/office/drawing/2014/main" id="{2247CA9D-D7F1-F00F-952C-3CD55AF322E8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06070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135</xdr:row>
      <xdr:rowOff>0</xdr:rowOff>
    </xdr:from>
    <xdr:to>
      <xdr:col>2</xdr:col>
      <xdr:colOff>355600</xdr:colOff>
      <xdr:row>136</xdr:row>
      <xdr:rowOff>25400</xdr:rowOff>
    </xdr:to>
    <xdr:sp macro="" textlink="">
      <xdr:nvSpPr>
        <xdr:cNvPr id="26759" name="AutoShape 135" descr="Eritrea Flag">
          <a:extLst>
            <a:ext uri="{FF2B5EF4-FFF2-40B4-BE49-F238E27FC236}">
              <a16:creationId xmlns:a16="http://schemas.microsoft.com/office/drawing/2014/main" id="{1EE1B760-6ADE-4FF9-1683-AAE35F563A48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08356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355600</xdr:colOff>
      <xdr:row>137</xdr:row>
      <xdr:rowOff>25400</xdr:rowOff>
    </xdr:to>
    <xdr:sp macro="" textlink="">
      <xdr:nvSpPr>
        <xdr:cNvPr id="26760" name="AutoShape 136" descr="Cameroon Flag">
          <a:extLst>
            <a:ext uri="{FF2B5EF4-FFF2-40B4-BE49-F238E27FC236}">
              <a16:creationId xmlns:a16="http://schemas.microsoft.com/office/drawing/2014/main" id="{BFF17A64-DD17-E4AC-D313-D7DCDD983B7B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1064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137</xdr:row>
      <xdr:rowOff>0</xdr:rowOff>
    </xdr:from>
    <xdr:to>
      <xdr:col>2</xdr:col>
      <xdr:colOff>355600</xdr:colOff>
      <xdr:row>138</xdr:row>
      <xdr:rowOff>25400</xdr:rowOff>
    </xdr:to>
    <xdr:sp macro="" textlink="">
      <xdr:nvSpPr>
        <xdr:cNvPr id="26761" name="AutoShape 137" descr="Mexico Flag">
          <a:extLst>
            <a:ext uri="{FF2B5EF4-FFF2-40B4-BE49-F238E27FC236}">
              <a16:creationId xmlns:a16="http://schemas.microsoft.com/office/drawing/2014/main" id="{8CEC3048-918A-78CB-7816-61E5347AB553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1292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138</xdr:row>
      <xdr:rowOff>0</xdr:rowOff>
    </xdr:from>
    <xdr:to>
      <xdr:col>2</xdr:col>
      <xdr:colOff>355600</xdr:colOff>
      <xdr:row>139</xdr:row>
      <xdr:rowOff>25400</xdr:rowOff>
    </xdr:to>
    <xdr:sp macro="" textlink="">
      <xdr:nvSpPr>
        <xdr:cNvPr id="26762" name="AutoShape 138" descr="Turkey Flag">
          <a:extLst>
            <a:ext uri="{FF2B5EF4-FFF2-40B4-BE49-F238E27FC236}">
              <a16:creationId xmlns:a16="http://schemas.microsoft.com/office/drawing/2014/main" id="{9C39CFCE-AE05-CDA2-682D-8E022996369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15214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139</xdr:row>
      <xdr:rowOff>0</xdr:rowOff>
    </xdr:from>
    <xdr:to>
      <xdr:col>2</xdr:col>
      <xdr:colOff>355600</xdr:colOff>
      <xdr:row>140</xdr:row>
      <xdr:rowOff>25400</xdr:rowOff>
    </xdr:to>
    <xdr:sp macro="" textlink="">
      <xdr:nvSpPr>
        <xdr:cNvPr id="26763" name="AutoShape 139" descr="Pakistan Flag">
          <a:extLst>
            <a:ext uri="{FF2B5EF4-FFF2-40B4-BE49-F238E27FC236}">
              <a16:creationId xmlns:a16="http://schemas.microsoft.com/office/drawing/2014/main" id="{D8D8E6A5-2647-7564-B045-F3556054AFF2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17500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140</xdr:row>
      <xdr:rowOff>0</xdr:rowOff>
    </xdr:from>
    <xdr:to>
      <xdr:col>2</xdr:col>
      <xdr:colOff>355600</xdr:colOff>
      <xdr:row>141</xdr:row>
      <xdr:rowOff>25400</xdr:rowOff>
    </xdr:to>
    <xdr:sp macro="" textlink="">
      <xdr:nvSpPr>
        <xdr:cNvPr id="26764" name="AutoShape 140" descr="Niger Flag">
          <a:extLst>
            <a:ext uri="{FF2B5EF4-FFF2-40B4-BE49-F238E27FC236}">
              <a16:creationId xmlns:a16="http://schemas.microsoft.com/office/drawing/2014/main" id="{24D621A7-57BA-5541-6D68-16B16AAF2997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19786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141</xdr:row>
      <xdr:rowOff>0</xdr:rowOff>
    </xdr:from>
    <xdr:to>
      <xdr:col>2</xdr:col>
      <xdr:colOff>355600</xdr:colOff>
      <xdr:row>142</xdr:row>
      <xdr:rowOff>25400</xdr:rowOff>
    </xdr:to>
    <xdr:sp macro="" textlink="">
      <xdr:nvSpPr>
        <xdr:cNvPr id="26765" name="AutoShape 141" descr="Venezuela Flag">
          <a:extLst>
            <a:ext uri="{FF2B5EF4-FFF2-40B4-BE49-F238E27FC236}">
              <a16:creationId xmlns:a16="http://schemas.microsoft.com/office/drawing/2014/main" id="{9168A012-47EA-1CDC-E15B-F2D777151AB6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2207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142</xdr:row>
      <xdr:rowOff>0</xdr:rowOff>
    </xdr:from>
    <xdr:to>
      <xdr:col>2</xdr:col>
      <xdr:colOff>355600</xdr:colOff>
      <xdr:row>143</xdr:row>
      <xdr:rowOff>25400</xdr:rowOff>
    </xdr:to>
    <xdr:sp macro="" textlink="">
      <xdr:nvSpPr>
        <xdr:cNvPr id="26766" name="AutoShape 142" descr="Haiti Flag">
          <a:extLst>
            <a:ext uri="{FF2B5EF4-FFF2-40B4-BE49-F238E27FC236}">
              <a16:creationId xmlns:a16="http://schemas.microsoft.com/office/drawing/2014/main" id="{017C4120-42DA-08C7-4A25-BCC88043D67C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2435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143</xdr:row>
      <xdr:rowOff>0</xdr:rowOff>
    </xdr:from>
    <xdr:to>
      <xdr:col>2</xdr:col>
      <xdr:colOff>355600</xdr:colOff>
      <xdr:row>144</xdr:row>
      <xdr:rowOff>25400</xdr:rowOff>
    </xdr:to>
    <xdr:sp macro="" textlink="">
      <xdr:nvSpPr>
        <xdr:cNvPr id="26767" name="AutoShape 143" descr="Ethiopia Flag">
          <a:extLst>
            <a:ext uri="{FF2B5EF4-FFF2-40B4-BE49-F238E27FC236}">
              <a16:creationId xmlns:a16="http://schemas.microsoft.com/office/drawing/2014/main" id="{7E0938CC-9B56-4D46-F1EF-A532A3A70C91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26644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144</xdr:row>
      <xdr:rowOff>0</xdr:rowOff>
    </xdr:from>
    <xdr:to>
      <xdr:col>2</xdr:col>
      <xdr:colOff>355600</xdr:colOff>
      <xdr:row>145</xdr:row>
      <xdr:rowOff>25400</xdr:rowOff>
    </xdr:to>
    <xdr:sp macro="" textlink="">
      <xdr:nvSpPr>
        <xdr:cNvPr id="26768" name="AutoShape 144" descr="Palestine Flag">
          <a:extLst>
            <a:ext uri="{FF2B5EF4-FFF2-40B4-BE49-F238E27FC236}">
              <a16:creationId xmlns:a16="http://schemas.microsoft.com/office/drawing/2014/main" id="{516C045B-FE49-B25E-9456-20703780BF49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28930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145</xdr:row>
      <xdr:rowOff>0</xdr:rowOff>
    </xdr:from>
    <xdr:to>
      <xdr:col>2</xdr:col>
      <xdr:colOff>355600</xdr:colOff>
      <xdr:row>146</xdr:row>
      <xdr:rowOff>25400</xdr:rowOff>
    </xdr:to>
    <xdr:sp macro="" textlink="">
      <xdr:nvSpPr>
        <xdr:cNvPr id="26769" name="AutoShape 145" descr="Colombia Flag">
          <a:extLst>
            <a:ext uri="{FF2B5EF4-FFF2-40B4-BE49-F238E27FC236}">
              <a16:creationId xmlns:a16="http://schemas.microsoft.com/office/drawing/2014/main" id="{37549A24-A341-C6A7-FCFE-E662C124477A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31216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146</xdr:row>
      <xdr:rowOff>0</xdr:rowOff>
    </xdr:from>
    <xdr:to>
      <xdr:col>2</xdr:col>
      <xdr:colOff>355600</xdr:colOff>
      <xdr:row>147</xdr:row>
      <xdr:rowOff>25400</xdr:rowOff>
    </xdr:to>
    <xdr:sp macro="" textlink="">
      <xdr:nvSpPr>
        <xdr:cNvPr id="26770" name="AutoShape 146" descr="Nigeria Flag">
          <a:extLst>
            <a:ext uri="{FF2B5EF4-FFF2-40B4-BE49-F238E27FC236}">
              <a16:creationId xmlns:a16="http://schemas.microsoft.com/office/drawing/2014/main" id="{69EACAE7-96EB-CA47-F85B-4C9F4EE85E6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3350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147</xdr:row>
      <xdr:rowOff>0</xdr:rowOff>
    </xdr:from>
    <xdr:to>
      <xdr:col>2</xdr:col>
      <xdr:colOff>355600</xdr:colOff>
      <xdr:row>148</xdr:row>
      <xdr:rowOff>25400</xdr:rowOff>
    </xdr:to>
    <xdr:sp macro="" textlink="">
      <xdr:nvSpPr>
        <xdr:cNvPr id="26771" name="AutoShape 147" descr="Myanmar Flag">
          <a:extLst>
            <a:ext uri="{FF2B5EF4-FFF2-40B4-BE49-F238E27FC236}">
              <a16:creationId xmlns:a16="http://schemas.microsoft.com/office/drawing/2014/main" id="{851347C4-E0A9-7A64-3318-44FE5BEC0AD7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3578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148</xdr:row>
      <xdr:rowOff>0</xdr:rowOff>
    </xdr:from>
    <xdr:to>
      <xdr:col>2</xdr:col>
      <xdr:colOff>355600</xdr:colOff>
      <xdr:row>149</xdr:row>
      <xdr:rowOff>25400</xdr:rowOff>
    </xdr:to>
    <xdr:sp macro="" textlink="">
      <xdr:nvSpPr>
        <xdr:cNvPr id="26772" name="AutoShape 148" descr="Burkina Faso Flag">
          <a:extLst>
            <a:ext uri="{FF2B5EF4-FFF2-40B4-BE49-F238E27FC236}">
              <a16:creationId xmlns:a16="http://schemas.microsoft.com/office/drawing/2014/main" id="{FF079200-3A4E-946C-09AB-5CF94EF44A61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38074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149</xdr:row>
      <xdr:rowOff>0</xdr:rowOff>
    </xdr:from>
    <xdr:to>
      <xdr:col>2</xdr:col>
      <xdr:colOff>355600</xdr:colOff>
      <xdr:row>150</xdr:row>
      <xdr:rowOff>25400</xdr:rowOff>
    </xdr:to>
    <xdr:sp macro="" textlink="">
      <xdr:nvSpPr>
        <xdr:cNvPr id="26773" name="AutoShape 149" descr="Central African Republic Flag">
          <a:extLst>
            <a:ext uri="{FF2B5EF4-FFF2-40B4-BE49-F238E27FC236}">
              <a16:creationId xmlns:a16="http://schemas.microsoft.com/office/drawing/2014/main" id="{82F097B5-7D95-19D9-8134-53E09FF8756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40360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150</xdr:row>
      <xdr:rowOff>0</xdr:rowOff>
    </xdr:from>
    <xdr:to>
      <xdr:col>2</xdr:col>
      <xdr:colOff>355600</xdr:colOff>
      <xdr:row>151</xdr:row>
      <xdr:rowOff>25400</xdr:rowOff>
    </xdr:to>
    <xdr:sp macro="" textlink="">
      <xdr:nvSpPr>
        <xdr:cNvPr id="26774" name="AutoShape 150" descr="Iraq Flag">
          <a:extLst>
            <a:ext uri="{FF2B5EF4-FFF2-40B4-BE49-F238E27FC236}">
              <a16:creationId xmlns:a16="http://schemas.microsoft.com/office/drawing/2014/main" id="{4E834E4A-DF3D-2392-F9FF-BCB522916C46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42646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</xdr:row>
      <xdr:rowOff>0</xdr:rowOff>
    </xdr:from>
    <xdr:to>
      <xdr:col>2</xdr:col>
      <xdr:colOff>355600</xdr:colOff>
      <xdr:row>152</xdr:row>
      <xdr:rowOff>25400</xdr:rowOff>
    </xdr:to>
    <xdr:sp macro="" textlink="">
      <xdr:nvSpPr>
        <xdr:cNvPr id="26775" name="AutoShape 151" descr="North Korea Flag">
          <a:extLst>
            <a:ext uri="{FF2B5EF4-FFF2-40B4-BE49-F238E27FC236}">
              <a16:creationId xmlns:a16="http://schemas.microsoft.com/office/drawing/2014/main" id="{55ADBF66-47F8-DF08-ED40-654D3C3598B6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4493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152</xdr:row>
      <xdr:rowOff>0</xdr:rowOff>
    </xdr:from>
    <xdr:to>
      <xdr:col>2</xdr:col>
      <xdr:colOff>355600</xdr:colOff>
      <xdr:row>153</xdr:row>
      <xdr:rowOff>25400</xdr:rowOff>
    </xdr:to>
    <xdr:sp macro="" textlink="">
      <xdr:nvSpPr>
        <xdr:cNvPr id="26776" name="AutoShape 152" descr="Somalia Flag">
          <a:extLst>
            <a:ext uri="{FF2B5EF4-FFF2-40B4-BE49-F238E27FC236}">
              <a16:creationId xmlns:a16="http://schemas.microsoft.com/office/drawing/2014/main" id="{C5CED6D9-6CC2-0143-E78B-97589D7AD3E9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4721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153</xdr:row>
      <xdr:rowOff>0</xdr:rowOff>
    </xdr:from>
    <xdr:to>
      <xdr:col>2</xdr:col>
      <xdr:colOff>355600</xdr:colOff>
      <xdr:row>154</xdr:row>
      <xdr:rowOff>25400</xdr:rowOff>
    </xdr:to>
    <xdr:sp macro="" textlink="">
      <xdr:nvSpPr>
        <xdr:cNvPr id="26777" name="AutoShape 153" descr="Mali Flag">
          <a:extLst>
            <a:ext uri="{FF2B5EF4-FFF2-40B4-BE49-F238E27FC236}">
              <a16:creationId xmlns:a16="http://schemas.microsoft.com/office/drawing/2014/main" id="{3F21B217-12A0-A9D0-BFF9-92B875979DBE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49504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154</xdr:row>
      <xdr:rowOff>0</xdr:rowOff>
    </xdr:from>
    <xdr:to>
      <xdr:col>2</xdr:col>
      <xdr:colOff>355600</xdr:colOff>
      <xdr:row>155</xdr:row>
      <xdr:rowOff>25400</xdr:rowOff>
    </xdr:to>
    <xdr:sp macro="" textlink="">
      <xdr:nvSpPr>
        <xdr:cNvPr id="26778" name="AutoShape 154" descr="Israel Flag">
          <a:extLst>
            <a:ext uri="{FF2B5EF4-FFF2-40B4-BE49-F238E27FC236}">
              <a16:creationId xmlns:a16="http://schemas.microsoft.com/office/drawing/2014/main" id="{8DA3BF04-25C3-0A17-CFD4-2860D71786E6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51790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</xdr:row>
      <xdr:rowOff>0</xdr:rowOff>
    </xdr:from>
    <xdr:to>
      <xdr:col>2</xdr:col>
      <xdr:colOff>355600</xdr:colOff>
      <xdr:row>156</xdr:row>
      <xdr:rowOff>25400</xdr:rowOff>
    </xdr:to>
    <xdr:sp macro="" textlink="">
      <xdr:nvSpPr>
        <xdr:cNvPr id="26779" name="AutoShape 155" descr="Syria Flag">
          <a:extLst>
            <a:ext uri="{FF2B5EF4-FFF2-40B4-BE49-F238E27FC236}">
              <a16:creationId xmlns:a16="http://schemas.microsoft.com/office/drawing/2014/main" id="{1A11C2C0-397F-0D56-66FE-EC017EE0A2B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54076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</xdr:row>
      <xdr:rowOff>0</xdr:rowOff>
    </xdr:from>
    <xdr:to>
      <xdr:col>2</xdr:col>
      <xdr:colOff>355600</xdr:colOff>
      <xdr:row>157</xdr:row>
      <xdr:rowOff>25400</xdr:rowOff>
    </xdr:to>
    <xdr:sp macro="" textlink="">
      <xdr:nvSpPr>
        <xdr:cNvPr id="26780" name="AutoShape 156" descr="Russia Flag">
          <a:extLst>
            <a:ext uri="{FF2B5EF4-FFF2-40B4-BE49-F238E27FC236}">
              <a16:creationId xmlns:a16="http://schemas.microsoft.com/office/drawing/2014/main" id="{2DC4E71A-10DE-1159-DE84-E89FE430354C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5636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157</xdr:row>
      <xdr:rowOff>0</xdr:rowOff>
    </xdr:from>
    <xdr:to>
      <xdr:col>2</xdr:col>
      <xdr:colOff>355600</xdr:colOff>
      <xdr:row>158</xdr:row>
      <xdr:rowOff>25400</xdr:rowOff>
    </xdr:to>
    <xdr:sp macro="" textlink="">
      <xdr:nvSpPr>
        <xdr:cNvPr id="26781" name="AutoShape 157" descr="DR Congo Flag">
          <a:extLst>
            <a:ext uri="{FF2B5EF4-FFF2-40B4-BE49-F238E27FC236}">
              <a16:creationId xmlns:a16="http://schemas.microsoft.com/office/drawing/2014/main" id="{A5073B19-615C-BC80-7906-6244B9956212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5864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</xdr:row>
      <xdr:rowOff>0</xdr:rowOff>
    </xdr:from>
    <xdr:to>
      <xdr:col>2</xdr:col>
      <xdr:colOff>355600</xdr:colOff>
      <xdr:row>159</xdr:row>
      <xdr:rowOff>25400</xdr:rowOff>
    </xdr:to>
    <xdr:sp macro="" textlink="">
      <xdr:nvSpPr>
        <xdr:cNvPr id="26782" name="AutoShape 158" descr="Ukraine Flag">
          <a:extLst>
            <a:ext uri="{FF2B5EF4-FFF2-40B4-BE49-F238E27FC236}">
              <a16:creationId xmlns:a16="http://schemas.microsoft.com/office/drawing/2014/main" id="{C78B6953-7DA5-7A4F-F69B-923037CF775C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60934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</xdr:row>
      <xdr:rowOff>0</xdr:rowOff>
    </xdr:from>
    <xdr:to>
      <xdr:col>2</xdr:col>
      <xdr:colOff>355600</xdr:colOff>
      <xdr:row>160</xdr:row>
      <xdr:rowOff>25400</xdr:rowOff>
    </xdr:to>
    <xdr:sp macro="" textlink="">
      <xdr:nvSpPr>
        <xdr:cNvPr id="26783" name="AutoShape 159" descr="Afghanistan Flag">
          <a:extLst>
            <a:ext uri="{FF2B5EF4-FFF2-40B4-BE49-F238E27FC236}">
              <a16:creationId xmlns:a16="http://schemas.microsoft.com/office/drawing/2014/main" id="{1D8553C0-5FB7-F7E1-E581-9EA859F30B8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63220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160</xdr:row>
      <xdr:rowOff>0</xdr:rowOff>
    </xdr:from>
    <xdr:to>
      <xdr:col>2</xdr:col>
      <xdr:colOff>355600</xdr:colOff>
      <xdr:row>161</xdr:row>
      <xdr:rowOff>25400</xdr:rowOff>
    </xdr:to>
    <xdr:sp macro="" textlink="">
      <xdr:nvSpPr>
        <xdr:cNvPr id="26784" name="AutoShape 160" descr="South Sudan Flag">
          <a:extLst>
            <a:ext uri="{FF2B5EF4-FFF2-40B4-BE49-F238E27FC236}">
              <a16:creationId xmlns:a16="http://schemas.microsoft.com/office/drawing/2014/main" id="{5AB569EE-A4CA-9A65-9196-31681CEE7024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65506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161</xdr:row>
      <xdr:rowOff>0</xdr:rowOff>
    </xdr:from>
    <xdr:to>
      <xdr:col>2</xdr:col>
      <xdr:colOff>355600</xdr:colOff>
      <xdr:row>162</xdr:row>
      <xdr:rowOff>25400</xdr:rowOff>
    </xdr:to>
    <xdr:sp macro="" textlink="">
      <xdr:nvSpPr>
        <xdr:cNvPr id="26785" name="AutoShape 161" descr="Sudan Flag">
          <a:extLst>
            <a:ext uri="{FF2B5EF4-FFF2-40B4-BE49-F238E27FC236}">
              <a16:creationId xmlns:a16="http://schemas.microsoft.com/office/drawing/2014/main" id="{6A7BF3BA-4F1F-5783-CD65-0D71DAD4B0A8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67792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162</xdr:row>
      <xdr:rowOff>0</xdr:rowOff>
    </xdr:from>
    <xdr:to>
      <xdr:col>2</xdr:col>
      <xdr:colOff>355600</xdr:colOff>
      <xdr:row>163</xdr:row>
      <xdr:rowOff>25400</xdr:rowOff>
    </xdr:to>
    <xdr:sp macro="" textlink="">
      <xdr:nvSpPr>
        <xdr:cNvPr id="26786" name="AutoShape 162" descr="Yemen Flag">
          <a:extLst>
            <a:ext uri="{FF2B5EF4-FFF2-40B4-BE49-F238E27FC236}">
              <a16:creationId xmlns:a16="http://schemas.microsoft.com/office/drawing/2014/main" id="{A8E36619-8A59-46BB-C20E-31808B361356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7007800"/>
          <a:ext cx="3556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orldometers.info/world-population/norway-population/" TargetMode="External"/><Relationship Id="rId299" Type="http://schemas.openxmlformats.org/officeDocument/2006/relationships/hyperlink" Target="https://www.worldometers.info/world-population/libya-population/" TargetMode="External"/><Relationship Id="rId21" Type="http://schemas.openxmlformats.org/officeDocument/2006/relationships/hyperlink" Target="https://www.worldometers.info/world-population/tanzania-population/" TargetMode="External"/><Relationship Id="rId63" Type="http://schemas.openxmlformats.org/officeDocument/2006/relationships/hyperlink" Target="https://www.worldometers.info/world-population/chad-population/" TargetMode="External"/><Relationship Id="rId159" Type="http://schemas.openxmlformats.org/officeDocument/2006/relationships/hyperlink" Target="https://www.worldometers.info/world-population/comoros-population/" TargetMode="External"/><Relationship Id="rId324" Type="http://schemas.openxmlformats.org/officeDocument/2006/relationships/hyperlink" Target="https://www.worldometers.info/world-population/georgia-population/" TargetMode="External"/><Relationship Id="rId366" Type="http://schemas.openxmlformats.org/officeDocument/2006/relationships/hyperlink" Target="https://www.worldometers.info/world-population/bahamas-population/" TargetMode="External"/><Relationship Id="rId170" Type="http://schemas.openxmlformats.org/officeDocument/2006/relationships/hyperlink" Target="https://www.worldometers.info/world-population/belize-population/" TargetMode="External"/><Relationship Id="rId226" Type="http://schemas.openxmlformats.org/officeDocument/2006/relationships/hyperlink" Target="https://www.worldometers.info/world-population/uganda-population/" TargetMode="External"/><Relationship Id="rId268" Type="http://schemas.openxmlformats.org/officeDocument/2006/relationships/hyperlink" Target="https://www.worldometers.info/world-population/zimbabwe-population/" TargetMode="External"/><Relationship Id="rId32" Type="http://schemas.openxmlformats.org/officeDocument/2006/relationships/hyperlink" Target="https://www.worldometers.info/world-population/spain-population/" TargetMode="External"/><Relationship Id="rId74" Type="http://schemas.openxmlformats.org/officeDocument/2006/relationships/hyperlink" Target="https://www.worldometers.info/world-population/guinea-population/" TargetMode="External"/><Relationship Id="rId128" Type="http://schemas.openxmlformats.org/officeDocument/2006/relationships/hyperlink" Target="https://www.worldometers.info/world-population/croatia-population/" TargetMode="External"/><Relationship Id="rId335" Type="http://schemas.openxmlformats.org/officeDocument/2006/relationships/hyperlink" Target="https://www.worldometers.info/world-population/gambia-population/" TargetMode="External"/><Relationship Id="rId377" Type="http://schemas.openxmlformats.org/officeDocument/2006/relationships/hyperlink" Target="https://www.worldometers.info/world-population/tonga-population/" TargetMode="External"/><Relationship Id="rId5" Type="http://schemas.openxmlformats.org/officeDocument/2006/relationships/hyperlink" Target="https://www.worldometers.info/world-population/pakistan-population/" TargetMode="External"/><Relationship Id="rId181" Type="http://schemas.openxmlformats.org/officeDocument/2006/relationships/hyperlink" Target="https://www.worldometers.info/world-population/micronesia-population/" TargetMode="External"/><Relationship Id="rId237" Type="http://schemas.openxmlformats.org/officeDocument/2006/relationships/hyperlink" Target="https://www.worldometers.info/world-population/poland-population/" TargetMode="External"/><Relationship Id="rId402" Type="http://schemas.openxmlformats.org/officeDocument/2006/relationships/hyperlink" Target="https://www.worldometers.info/world-population/faeroe-islands-population/" TargetMode="External"/><Relationship Id="rId279" Type="http://schemas.openxmlformats.org/officeDocument/2006/relationships/hyperlink" Target="https://www.worldometers.info/world-population/dominican-republic-population/" TargetMode="External"/><Relationship Id="rId43" Type="http://schemas.openxmlformats.org/officeDocument/2006/relationships/hyperlink" Target="https://www.worldometers.info/world-population/uzbekistan-population/" TargetMode="External"/><Relationship Id="rId139" Type="http://schemas.openxmlformats.org/officeDocument/2006/relationships/hyperlink" Target="https://www.worldometers.info/world-population/lithuania-population/" TargetMode="External"/><Relationship Id="rId290" Type="http://schemas.openxmlformats.org/officeDocument/2006/relationships/hyperlink" Target="https://www.worldometers.info/world-population/togo-population/" TargetMode="External"/><Relationship Id="rId304" Type="http://schemas.openxmlformats.org/officeDocument/2006/relationships/hyperlink" Target="https://www.worldometers.info/world-population/serbia-population/" TargetMode="External"/><Relationship Id="rId346" Type="http://schemas.openxmlformats.org/officeDocument/2006/relationships/hyperlink" Target="https://www.worldometers.info/world-population/trinidad-and-tobago-population/" TargetMode="External"/><Relationship Id="rId388" Type="http://schemas.openxmlformats.org/officeDocument/2006/relationships/hyperlink" Target="https://www.worldometers.info/world-population/nauru-population/" TargetMode="External"/><Relationship Id="rId85" Type="http://schemas.openxmlformats.org/officeDocument/2006/relationships/hyperlink" Target="https://www.worldometers.info/world-population/united-arab-emirates-population/" TargetMode="External"/><Relationship Id="rId150" Type="http://schemas.openxmlformats.org/officeDocument/2006/relationships/hyperlink" Target="https://www.worldometers.info/world-population/bahrain-population/" TargetMode="External"/><Relationship Id="rId192" Type="http://schemas.openxmlformats.org/officeDocument/2006/relationships/hyperlink" Target="https://www.worldometers.info/world-population/palau-population/" TargetMode="External"/><Relationship Id="rId206" Type="http://schemas.openxmlformats.org/officeDocument/2006/relationships/hyperlink" Target="https://www.worldometers.info/world-population/mexico-population/" TargetMode="External"/><Relationship Id="rId413" Type="http://schemas.openxmlformats.org/officeDocument/2006/relationships/hyperlink" Target="https://www.worldometers.info/world-population/cayman-islands-population/" TargetMode="External"/><Relationship Id="rId248" Type="http://schemas.openxmlformats.org/officeDocument/2006/relationships/hyperlink" Target="https://www.worldometers.info/world-population/venezuela-population/" TargetMode="External"/><Relationship Id="rId12" Type="http://schemas.openxmlformats.org/officeDocument/2006/relationships/hyperlink" Target="https://www.worldometers.info/world-population/japan-population/" TargetMode="External"/><Relationship Id="rId108" Type="http://schemas.openxmlformats.org/officeDocument/2006/relationships/hyperlink" Target="https://www.worldometers.info/world-population/bulgaria-population/" TargetMode="External"/><Relationship Id="rId315" Type="http://schemas.openxmlformats.org/officeDocument/2006/relationships/hyperlink" Target="https://www.worldometers.info/world-population/oman-population/" TargetMode="External"/><Relationship Id="rId357" Type="http://schemas.openxmlformats.org/officeDocument/2006/relationships/hyperlink" Target="https://www.worldometers.info/world-population/bhutan-population/" TargetMode="External"/><Relationship Id="rId54" Type="http://schemas.openxmlformats.org/officeDocument/2006/relationships/hyperlink" Target="https://www.worldometers.info/world-population/niger-population/" TargetMode="External"/><Relationship Id="rId96" Type="http://schemas.openxmlformats.org/officeDocument/2006/relationships/hyperlink" Target="https://www.worldometers.info/world-population/hungary-population/" TargetMode="External"/><Relationship Id="rId161" Type="http://schemas.openxmlformats.org/officeDocument/2006/relationships/hyperlink" Target="https://www.worldometers.info/world-population/guyana-population/" TargetMode="External"/><Relationship Id="rId217" Type="http://schemas.openxmlformats.org/officeDocument/2006/relationships/hyperlink" Target="https://www.worldometers.info/world-population/uk-population/" TargetMode="External"/><Relationship Id="rId399" Type="http://schemas.openxmlformats.org/officeDocument/2006/relationships/hyperlink" Target="https://www.worldometers.info/world-population/french-polynesia-population/" TargetMode="External"/><Relationship Id="rId259" Type="http://schemas.openxmlformats.org/officeDocument/2006/relationships/hyperlink" Target="https://www.worldometers.info/world-population/kazakhstan-population/" TargetMode="External"/><Relationship Id="rId424" Type="http://schemas.openxmlformats.org/officeDocument/2006/relationships/hyperlink" Target="https://www.worldometers.info/world-population/saint-pierre-and-miquelon-population/" TargetMode="External"/><Relationship Id="rId23" Type="http://schemas.openxmlformats.org/officeDocument/2006/relationships/hyperlink" Target="https://www.worldometers.info/world-population/france-population/" TargetMode="External"/><Relationship Id="rId119" Type="http://schemas.openxmlformats.org/officeDocument/2006/relationships/hyperlink" Target="https://www.worldometers.info/world-population/central-african-republic-population/" TargetMode="External"/><Relationship Id="rId270" Type="http://schemas.openxmlformats.org/officeDocument/2006/relationships/hyperlink" Target="https://www.worldometers.info/world-population/benin-population/" TargetMode="External"/><Relationship Id="rId326" Type="http://schemas.openxmlformats.org/officeDocument/2006/relationships/hyperlink" Target="https://www.worldometers.info/world-population/mongolia-population/" TargetMode="External"/><Relationship Id="rId65" Type="http://schemas.openxmlformats.org/officeDocument/2006/relationships/hyperlink" Target="https://www.worldometers.info/world-population/chile-population/" TargetMode="External"/><Relationship Id="rId130" Type="http://schemas.openxmlformats.org/officeDocument/2006/relationships/hyperlink" Target="https://www.worldometers.info/world-population/eritrea-population/" TargetMode="External"/><Relationship Id="rId368" Type="http://schemas.openxmlformats.org/officeDocument/2006/relationships/hyperlink" Target="https://www.worldometers.info/world-population/vanuatu-population/" TargetMode="External"/><Relationship Id="rId172" Type="http://schemas.openxmlformats.org/officeDocument/2006/relationships/hyperlink" Target="https://www.worldometers.info/world-population/iceland-population/" TargetMode="External"/><Relationship Id="rId228" Type="http://schemas.openxmlformats.org/officeDocument/2006/relationships/hyperlink" Target="https://www.worldometers.info/world-population/algeria-population/" TargetMode="External"/><Relationship Id="rId281" Type="http://schemas.openxmlformats.org/officeDocument/2006/relationships/hyperlink" Target="https://www.worldometers.info/world-population/honduras-population/" TargetMode="External"/><Relationship Id="rId337" Type="http://schemas.openxmlformats.org/officeDocument/2006/relationships/hyperlink" Target="https://www.worldometers.info/world-population/gabon-population/" TargetMode="External"/><Relationship Id="rId34" Type="http://schemas.openxmlformats.org/officeDocument/2006/relationships/hyperlink" Target="https://www.worldometers.info/world-population/iraq-population/" TargetMode="External"/><Relationship Id="rId76" Type="http://schemas.openxmlformats.org/officeDocument/2006/relationships/hyperlink" Target="https://www.worldometers.info/world-population/rwanda-population/" TargetMode="External"/><Relationship Id="rId141" Type="http://schemas.openxmlformats.org/officeDocument/2006/relationships/hyperlink" Target="https://www.worldometers.info/world-population/albania-population/" TargetMode="External"/><Relationship Id="rId379" Type="http://schemas.openxmlformats.org/officeDocument/2006/relationships/hyperlink" Target="https://www.worldometers.info/world-population/antigua-and-barbuda-population/" TargetMode="External"/><Relationship Id="rId7" Type="http://schemas.openxmlformats.org/officeDocument/2006/relationships/hyperlink" Target="https://www.worldometers.info/world-population/brazil-population/" TargetMode="External"/><Relationship Id="rId183" Type="http://schemas.openxmlformats.org/officeDocument/2006/relationships/hyperlink" Target="https://www.worldometers.info/world-population/saint-vincent-and-the-grenadines-population/" TargetMode="External"/><Relationship Id="rId239" Type="http://schemas.openxmlformats.org/officeDocument/2006/relationships/hyperlink" Target="https://www.worldometers.info/world-population/malaysia-population/" TargetMode="External"/><Relationship Id="rId390" Type="http://schemas.openxmlformats.org/officeDocument/2006/relationships/hyperlink" Target="https://www.worldometers.info/world-population/holy-see-population/" TargetMode="External"/><Relationship Id="rId404" Type="http://schemas.openxmlformats.org/officeDocument/2006/relationships/hyperlink" Target="https://www.worldometers.info/world-population/china-macao-sar-population/" TargetMode="External"/><Relationship Id="rId250" Type="http://schemas.openxmlformats.org/officeDocument/2006/relationships/hyperlink" Target="https://www.worldometers.info/world-population/australia-population/" TargetMode="External"/><Relationship Id="rId292" Type="http://schemas.openxmlformats.org/officeDocument/2006/relationships/hyperlink" Target="https://www.worldometers.info/world-population/israel-population/" TargetMode="External"/><Relationship Id="rId306" Type="http://schemas.openxmlformats.org/officeDocument/2006/relationships/hyperlink" Target="https://www.worldometers.info/world-population/el-salvador-population/" TargetMode="External"/><Relationship Id="rId45" Type="http://schemas.openxmlformats.org/officeDocument/2006/relationships/hyperlink" Target="https://www.worldometers.info/world-population/mozambique-population/" TargetMode="External"/><Relationship Id="rId87" Type="http://schemas.openxmlformats.org/officeDocument/2006/relationships/hyperlink" Target="https://www.worldometers.info/world-population/cuba-population/" TargetMode="External"/><Relationship Id="rId110" Type="http://schemas.openxmlformats.org/officeDocument/2006/relationships/hyperlink" Target="https://www.worldometers.info/world-population/congo-population/" TargetMode="External"/><Relationship Id="rId348" Type="http://schemas.openxmlformats.org/officeDocument/2006/relationships/hyperlink" Target="https://www.worldometers.info/world-population/cyprus-population/" TargetMode="External"/><Relationship Id="rId152" Type="http://schemas.openxmlformats.org/officeDocument/2006/relationships/hyperlink" Target="https://www.worldometers.info/world-population/timor-leste-population/" TargetMode="External"/><Relationship Id="rId194" Type="http://schemas.openxmlformats.org/officeDocument/2006/relationships/hyperlink" Target="https://www.worldometers.info/world-population/tuvalu-population/" TargetMode="External"/><Relationship Id="rId208" Type="http://schemas.openxmlformats.org/officeDocument/2006/relationships/hyperlink" Target="https://www.worldometers.info/world-population/egypt-population/" TargetMode="External"/><Relationship Id="rId415" Type="http://schemas.openxmlformats.org/officeDocument/2006/relationships/hyperlink" Target="https://www.worldometers.info/world-population/american-samoa-population/" TargetMode="External"/><Relationship Id="rId261" Type="http://schemas.openxmlformats.org/officeDocument/2006/relationships/hyperlink" Target="https://www.worldometers.info/world-population/somalia-population/" TargetMode="External"/><Relationship Id="rId14" Type="http://schemas.openxmlformats.org/officeDocument/2006/relationships/hyperlink" Target="https://www.worldometers.info/world-population/philippines-population/" TargetMode="External"/><Relationship Id="rId56" Type="http://schemas.openxmlformats.org/officeDocument/2006/relationships/hyperlink" Target="https://www.worldometers.info/world-population/north-korea-population/" TargetMode="External"/><Relationship Id="rId317" Type="http://schemas.openxmlformats.org/officeDocument/2006/relationships/hyperlink" Target="https://www.worldometers.info/world-population/mauritania-population/" TargetMode="External"/><Relationship Id="rId359" Type="http://schemas.openxmlformats.org/officeDocument/2006/relationships/hyperlink" Target="https://www.worldometers.info/world-population/suriname-population/" TargetMode="External"/><Relationship Id="rId98" Type="http://schemas.openxmlformats.org/officeDocument/2006/relationships/hyperlink" Target="https://www.worldometers.info/world-population/austria-population/" TargetMode="External"/><Relationship Id="rId121" Type="http://schemas.openxmlformats.org/officeDocument/2006/relationships/hyperlink" Target="https://www.worldometers.info/world-population/slovakia-population/" TargetMode="External"/><Relationship Id="rId163" Type="http://schemas.openxmlformats.org/officeDocument/2006/relationships/hyperlink" Target="https://www.worldometers.info/world-population/luxembourg-population/" TargetMode="External"/><Relationship Id="rId219" Type="http://schemas.openxmlformats.org/officeDocument/2006/relationships/hyperlink" Target="https://www.worldometers.info/world-population/south-africa-population/" TargetMode="External"/><Relationship Id="rId370" Type="http://schemas.openxmlformats.org/officeDocument/2006/relationships/hyperlink" Target="https://www.worldometers.info/world-population/sao-tome-and-principe-population/" TargetMode="External"/><Relationship Id="rId426" Type="http://schemas.openxmlformats.org/officeDocument/2006/relationships/hyperlink" Target="https://www.worldometers.info/world-population/montserrat-population/" TargetMode="External"/><Relationship Id="rId230" Type="http://schemas.openxmlformats.org/officeDocument/2006/relationships/hyperlink" Target="https://www.worldometers.info/world-population/argentina-population/" TargetMode="External"/><Relationship Id="rId25" Type="http://schemas.openxmlformats.org/officeDocument/2006/relationships/hyperlink" Target="https://www.worldometers.info/world-population/italy-population/" TargetMode="External"/><Relationship Id="rId67" Type="http://schemas.openxmlformats.org/officeDocument/2006/relationships/hyperlink" Target="https://www.worldometers.info/world-population/senegal-population/" TargetMode="External"/><Relationship Id="rId272" Type="http://schemas.openxmlformats.org/officeDocument/2006/relationships/hyperlink" Target="https://www.worldometers.info/world-population/burundi-population/" TargetMode="External"/><Relationship Id="rId328" Type="http://schemas.openxmlformats.org/officeDocument/2006/relationships/hyperlink" Target="https://www.worldometers.info/world-population/bosnia-and-herzegovina-population/" TargetMode="External"/><Relationship Id="rId132" Type="http://schemas.openxmlformats.org/officeDocument/2006/relationships/hyperlink" Target="https://www.worldometers.info/world-population/uruguay-population/" TargetMode="External"/><Relationship Id="rId174" Type="http://schemas.openxmlformats.org/officeDocument/2006/relationships/hyperlink" Target="https://www.worldometers.info/world-population/barbados-population/" TargetMode="External"/><Relationship Id="rId381" Type="http://schemas.openxmlformats.org/officeDocument/2006/relationships/hyperlink" Target="https://www.worldometers.info/world-population/dominica-population/" TargetMode="External"/><Relationship Id="rId241" Type="http://schemas.openxmlformats.org/officeDocument/2006/relationships/hyperlink" Target="https://www.worldometers.info/world-population/ghana-population/" TargetMode="External"/><Relationship Id="rId36" Type="http://schemas.openxmlformats.org/officeDocument/2006/relationships/hyperlink" Target="https://www.worldometers.info/world-population/afghanistan-population/" TargetMode="External"/><Relationship Id="rId283" Type="http://schemas.openxmlformats.org/officeDocument/2006/relationships/hyperlink" Target="https://www.worldometers.info/world-population/tajikistan-population/" TargetMode="External"/><Relationship Id="rId339" Type="http://schemas.openxmlformats.org/officeDocument/2006/relationships/hyperlink" Target="https://www.worldometers.info/world-population/lesotho-population/" TargetMode="External"/><Relationship Id="rId78" Type="http://schemas.openxmlformats.org/officeDocument/2006/relationships/hyperlink" Target="https://www.worldometers.info/world-population/bolivia-population/" TargetMode="External"/><Relationship Id="rId101" Type="http://schemas.openxmlformats.org/officeDocument/2006/relationships/hyperlink" Target="https://www.worldometers.info/world-population/sierra-leone-population/" TargetMode="External"/><Relationship Id="rId143" Type="http://schemas.openxmlformats.org/officeDocument/2006/relationships/hyperlink" Target="https://www.worldometers.info/world-population/botswana-population/" TargetMode="External"/><Relationship Id="rId185" Type="http://schemas.openxmlformats.org/officeDocument/2006/relationships/hyperlink" Target="https://www.worldometers.info/world-population/andorra-population/" TargetMode="External"/><Relationship Id="rId350" Type="http://schemas.openxmlformats.org/officeDocument/2006/relationships/hyperlink" Target="https://www.worldometers.info/world-population/mauritius-population/" TargetMode="External"/><Relationship Id="rId406" Type="http://schemas.openxmlformats.org/officeDocument/2006/relationships/hyperlink" Target="https://www.worldometers.info/world-population/mayotte-population/" TargetMode="External"/><Relationship Id="rId9" Type="http://schemas.openxmlformats.org/officeDocument/2006/relationships/hyperlink" Target="https://www.worldometers.info/world-population/russia-population/" TargetMode="External"/><Relationship Id="rId210" Type="http://schemas.openxmlformats.org/officeDocument/2006/relationships/hyperlink" Target="https://www.worldometers.info/world-population/democratic-republic-of-the-congo-population/" TargetMode="External"/><Relationship Id="rId392" Type="http://schemas.openxmlformats.org/officeDocument/2006/relationships/hyperlink" Target="https://www.worldometers.info/world-population/china-hong-kong-sar-population/" TargetMode="External"/><Relationship Id="rId252" Type="http://schemas.openxmlformats.org/officeDocument/2006/relationships/hyperlink" Target="https://www.worldometers.info/world-population/syria-population/" TargetMode="External"/><Relationship Id="rId294" Type="http://schemas.openxmlformats.org/officeDocument/2006/relationships/hyperlink" Target="https://www.worldometers.info/world-population/belarus-population/" TargetMode="External"/><Relationship Id="rId308" Type="http://schemas.openxmlformats.org/officeDocument/2006/relationships/hyperlink" Target="https://www.worldometers.info/world-population/singapore-population/" TargetMode="External"/><Relationship Id="rId47" Type="http://schemas.openxmlformats.org/officeDocument/2006/relationships/hyperlink" Target="https://www.worldometers.info/world-population/peru-population/" TargetMode="External"/><Relationship Id="rId89" Type="http://schemas.openxmlformats.org/officeDocument/2006/relationships/hyperlink" Target="https://www.worldometers.info/world-population/papua-new-guinea-population/" TargetMode="External"/><Relationship Id="rId112" Type="http://schemas.openxmlformats.org/officeDocument/2006/relationships/hyperlink" Target="https://www.worldometers.info/world-population/denmark-population/" TargetMode="External"/><Relationship Id="rId154" Type="http://schemas.openxmlformats.org/officeDocument/2006/relationships/hyperlink" Target="https://www.worldometers.info/world-population/estonia-population/" TargetMode="External"/><Relationship Id="rId361" Type="http://schemas.openxmlformats.org/officeDocument/2006/relationships/hyperlink" Target="https://www.worldometers.info/world-population/malta-population/" TargetMode="External"/><Relationship Id="rId196" Type="http://schemas.openxmlformats.org/officeDocument/2006/relationships/hyperlink" Target="https://www.worldometers.info/world-population/india-population/" TargetMode="External"/><Relationship Id="rId417" Type="http://schemas.openxmlformats.org/officeDocument/2006/relationships/hyperlink" Target="https://www.worldometers.info/world-population/northern-mariana-islands-population/" TargetMode="External"/><Relationship Id="rId16" Type="http://schemas.openxmlformats.org/officeDocument/2006/relationships/hyperlink" Target="https://www.worldometers.info/world-population/vietnam-population/" TargetMode="External"/><Relationship Id="rId221" Type="http://schemas.openxmlformats.org/officeDocument/2006/relationships/hyperlink" Target="https://www.worldometers.info/world-population/kenya-population/" TargetMode="External"/><Relationship Id="rId263" Type="http://schemas.openxmlformats.org/officeDocument/2006/relationships/hyperlink" Target="https://www.worldometers.info/world-population/romania-population/" TargetMode="External"/><Relationship Id="rId319" Type="http://schemas.openxmlformats.org/officeDocument/2006/relationships/hyperlink" Target="https://www.worldometers.info/world-population/new-zealand-population/" TargetMode="External"/><Relationship Id="rId58" Type="http://schemas.openxmlformats.org/officeDocument/2006/relationships/hyperlink" Target="https://www.worldometers.info/world-population/mali-population/" TargetMode="External"/><Relationship Id="rId123" Type="http://schemas.openxmlformats.org/officeDocument/2006/relationships/hyperlink" Target="https://www.worldometers.info/world-population/ireland-population/" TargetMode="External"/><Relationship Id="rId330" Type="http://schemas.openxmlformats.org/officeDocument/2006/relationships/hyperlink" Target="https://www.worldometers.info/world-population/namibia-population/" TargetMode="External"/><Relationship Id="rId165" Type="http://schemas.openxmlformats.org/officeDocument/2006/relationships/hyperlink" Target="https://www.worldometers.info/world-population/montenegro-population/" TargetMode="External"/><Relationship Id="rId372" Type="http://schemas.openxmlformats.org/officeDocument/2006/relationships/hyperlink" Target="https://www.worldometers.info/world-population/saint-lucia-population/" TargetMode="External"/><Relationship Id="rId428" Type="http://schemas.openxmlformats.org/officeDocument/2006/relationships/hyperlink" Target="https://www.worldometers.info/world-population/niue-population/" TargetMode="External"/><Relationship Id="rId232" Type="http://schemas.openxmlformats.org/officeDocument/2006/relationships/hyperlink" Target="https://www.worldometers.info/world-population/yemen-population/" TargetMode="External"/><Relationship Id="rId274" Type="http://schemas.openxmlformats.org/officeDocument/2006/relationships/hyperlink" Target="https://www.worldometers.info/world-population/tunisia-population/" TargetMode="External"/><Relationship Id="rId27" Type="http://schemas.openxmlformats.org/officeDocument/2006/relationships/hyperlink" Target="https://www.worldometers.info/world-population/myanmar-population/" TargetMode="External"/><Relationship Id="rId69" Type="http://schemas.openxmlformats.org/officeDocument/2006/relationships/hyperlink" Target="https://www.worldometers.info/world-population/guatemala-population/" TargetMode="External"/><Relationship Id="rId134" Type="http://schemas.openxmlformats.org/officeDocument/2006/relationships/hyperlink" Target="https://www.worldometers.info/world-population/qatar-population/" TargetMode="External"/><Relationship Id="rId80" Type="http://schemas.openxmlformats.org/officeDocument/2006/relationships/hyperlink" Target="https://www.worldometers.info/world-population/south-sudan-population/" TargetMode="External"/><Relationship Id="rId176" Type="http://schemas.openxmlformats.org/officeDocument/2006/relationships/hyperlink" Target="https://www.worldometers.info/world-population/samoa-population/" TargetMode="External"/><Relationship Id="rId341" Type="http://schemas.openxmlformats.org/officeDocument/2006/relationships/hyperlink" Target="https://www.worldometers.info/world-population/slovenia-population/" TargetMode="External"/><Relationship Id="rId383" Type="http://schemas.openxmlformats.org/officeDocument/2006/relationships/hyperlink" Target="https://www.worldometers.info/world-population/liechtenstein-population/" TargetMode="External"/><Relationship Id="rId201" Type="http://schemas.openxmlformats.org/officeDocument/2006/relationships/hyperlink" Target="https://www.worldometers.info/world-population/nigeria-population/" TargetMode="External"/><Relationship Id="rId243" Type="http://schemas.openxmlformats.org/officeDocument/2006/relationships/hyperlink" Target="https://www.worldometers.info/world-population/saudi-arabia-population/" TargetMode="External"/><Relationship Id="rId285" Type="http://schemas.openxmlformats.org/officeDocument/2006/relationships/hyperlink" Target="https://www.worldometers.info/world-population/sweden-population/" TargetMode="External"/><Relationship Id="rId38" Type="http://schemas.openxmlformats.org/officeDocument/2006/relationships/hyperlink" Target="https://www.worldometers.info/world-population/canada-population/" TargetMode="External"/><Relationship Id="rId103" Type="http://schemas.openxmlformats.org/officeDocument/2006/relationships/hyperlink" Target="https://www.worldometers.info/world-population/turkmenistan-population/" TargetMode="External"/><Relationship Id="rId310" Type="http://schemas.openxmlformats.org/officeDocument/2006/relationships/hyperlink" Target="https://www.worldometers.info/world-population/liberia-population/" TargetMode="External"/><Relationship Id="rId91" Type="http://schemas.openxmlformats.org/officeDocument/2006/relationships/hyperlink" Target="https://www.worldometers.info/world-population/czechia-population/" TargetMode="External"/><Relationship Id="rId145" Type="http://schemas.openxmlformats.org/officeDocument/2006/relationships/hyperlink" Target="https://www.worldometers.info/world-population/guinea-bissau-population/" TargetMode="External"/><Relationship Id="rId187" Type="http://schemas.openxmlformats.org/officeDocument/2006/relationships/hyperlink" Target="https://www.worldometers.info/world-population/saint-kitts-and-nevis-population/" TargetMode="External"/><Relationship Id="rId352" Type="http://schemas.openxmlformats.org/officeDocument/2006/relationships/hyperlink" Target="https://www.worldometers.info/world-population/djibouti-population/" TargetMode="External"/><Relationship Id="rId394" Type="http://schemas.openxmlformats.org/officeDocument/2006/relationships/hyperlink" Target="https://www.worldometers.info/world-population/greenland-population/" TargetMode="External"/><Relationship Id="rId408" Type="http://schemas.openxmlformats.org/officeDocument/2006/relationships/hyperlink" Target="https://www.worldometers.info/world-population/saint-lucia-population/" TargetMode="External"/><Relationship Id="rId1" Type="http://schemas.openxmlformats.org/officeDocument/2006/relationships/hyperlink" Target="https://www.worldometers.info/world-population/india-population/" TargetMode="External"/><Relationship Id="rId212" Type="http://schemas.openxmlformats.org/officeDocument/2006/relationships/hyperlink" Target="https://www.worldometers.info/world-population/iran-population/" TargetMode="External"/><Relationship Id="rId233" Type="http://schemas.openxmlformats.org/officeDocument/2006/relationships/hyperlink" Target="https://www.worldometers.info/world-population/canada-population/" TargetMode="External"/><Relationship Id="rId254" Type="http://schemas.openxmlformats.org/officeDocument/2006/relationships/hyperlink" Target="https://www.worldometers.info/world-population/burkina-faso-population/" TargetMode="External"/><Relationship Id="rId28" Type="http://schemas.openxmlformats.org/officeDocument/2006/relationships/hyperlink" Target="https://www.worldometers.info/world-population/colombia-population/" TargetMode="External"/><Relationship Id="rId49" Type="http://schemas.openxmlformats.org/officeDocument/2006/relationships/hyperlink" Target="https://www.worldometers.info/world-population/madagascar-population/" TargetMode="External"/><Relationship Id="rId114" Type="http://schemas.openxmlformats.org/officeDocument/2006/relationships/hyperlink" Target="https://www.worldometers.info/world-population/lebanon-population/" TargetMode="External"/><Relationship Id="rId275" Type="http://schemas.openxmlformats.org/officeDocument/2006/relationships/hyperlink" Target="https://www.worldometers.info/world-population/south-sudan-population/" TargetMode="External"/><Relationship Id="rId296" Type="http://schemas.openxmlformats.org/officeDocument/2006/relationships/hyperlink" Target="https://www.worldometers.info/world-population/sierra-leone-population/" TargetMode="External"/><Relationship Id="rId300" Type="http://schemas.openxmlformats.org/officeDocument/2006/relationships/hyperlink" Target="https://www.worldometers.info/world-population/kyrgyzstan-population/" TargetMode="External"/><Relationship Id="rId60" Type="http://schemas.openxmlformats.org/officeDocument/2006/relationships/hyperlink" Target="https://www.worldometers.info/world-population/sri-lanka-population/" TargetMode="External"/><Relationship Id="rId81" Type="http://schemas.openxmlformats.org/officeDocument/2006/relationships/hyperlink" Target="https://www.worldometers.info/world-population/haiti-population/" TargetMode="External"/><Relationship Id="rId135" Type="http://schemas.openxmlformats.org/officeDocument/2006/relationships/hyperlink" Target="https://www.worldometers.info/world-population/namibia-population/" TargetMode="External"/><Relationship Id="rId156" Type="http://schemas.openxmlformats.org/officeDocument/2006/relationships/hyperlink" Target="https://www.worldometers.info/world-population/swaziland-population/" TargetMode="External"/><Relationship Id="rId177" Type="http://schemas.openxmlformats.org/officeDocument/2006/relationships/hyperlink" Target="https://www.worldometers.info/world-population/saint-lucia-population/" TargetMode="External"/><Relationship Id="rId198" Type="http://schemas.openxmlformats.org/officeDocument/2006/relationships/hyperlink" Target="https://www.worldometers.info/world-population/us-population/" TargetMode="External"/><Relationship Id="rId321" Type="http://schemas.openxmlformats.org/officeDocument/2006/relationships/hyperlink" Target="https://www.worldometers.info/world-population/kuwait-population/" TargetMode="External"/><Relationship Id="rId342" Type="http://schemas.openxmlformats.org/officeDocument/2006/relationships/hyperlink" Target="https://www.worldometers.info/world-population/equatorial-guinea-population/" TargetMode="External"/><Relationship Id="rId363" Type="http://schemas.openxmlformats.org/officeDocument/2006/relationships/hyperlink" Target="https://www.worldometers.info/world-population/cabo-verde-population/" TargetMode="External"/><Relationship Id="rId384" Type="http://schemas.openxmlformats.org/officeDocument/2006/relationships/hyperlink" Target="https://www.worldometers.info/world-population/monaco-population/" TargetMode="External"/><Relationship Id="rId419" Type="http://schemas.openxmlformats.org/officeDocument/2006/relationships/hyperlink" Target="https://www.worldometers.info/world-population/british-virgin-islands-population/" TargetMode="External"/><Relationship Id="rId202" Type="http://schemas.openxmlformats.org/officeDocument/2006/relationships/hyperlink" Target="https://www.worldometers.info/world-population/brazil-population/" TargetMode="External"/><Relationship Id="rId223" Type="http://schemas.openxmlformats.org/officeDocument/2006/relationships/hyperlink" Target="https://www.worldometers.info/world-population/colombia-population/" TargetMode="External"/><Relationship Id="rId244" Type="http://schemas.openxmlformats.org/officeDocument/2006/relationships/hyperlink" Target="https://www.worldometers.info/world-population/madagascar-population/" TargetMode="External"/><Relationship Id="rId430" Type="http://schemas.openxmlformats.org/officeDocument/2006/relationships/vmlDrawing" Target="../drawings/vmlDrawing1.vml"/><Relationship Id="rId18" Type="http://schemas.openxmlformats.org/officeDocument/2006/relationships/hyperlink" Target="https://www.worldometers.info/world-population/turkey-population/" TargetMode="External"/><Relationship Id="rId39" Type="http://schemas.openxmlformats.org/officeDocument/2006/relationships/hyperlink" Target="https://www.worldometers.info/world-population/angola-population/" TargetMode="External"/><Relationship Id="rId265" Type="http://schemas.openxmlformats.org/officeDocument/2006/relationships/hyperlink" Target="https://www.worldometers.info/world-population/netherlands-population/" TargetMode="External"/><Relationship Id="rId286" Type="http://schemas.openxmlformats.org/officeDocument/2006/relationships/hyperlink" Target="https://www.worldometers.info/world-population/czechia-population/" TargetMode="External"/><Relationship Id="rId50" Type="http://schemas.openxmlformats.org/officeDocument/2006/relationships/hyperlink" Target="https://www.worldometers.info/world-population/cote-d-ivoire-population/" TargetMode="External"/><Relationship Id="rId104" Type="http://schemas.openxmlformats.org/officeDocument/2006/relationships/hyperlink" Target="https://www.worldometers.info/world-population/libya-population/" TargetMode="External"/><Relationship Id="rId125" Type="http://schemas.openxmlformats.org/officeDocument/2006/relationships/hyperlink" Target="https://www.worldometers.info/world-population/costa-rica-population/" TargetMode="External"/><Relationship Id="rId146" Type="http://schemas.openxmlformats.org/officeDocument/2006/relationships/hyperlink" Target="https://www.worldometers.info/world-population/slovenia-population/" TargetMode="External"/><Relationship Id="rId167" Type="http://schemas.openxmlformats.org/officeDocument/2006/relationships/hyperlink" Target="https://www.worldometers.info/world-population/maldives-population/" TargetMode="External"/><Relationship Id="rId188" Type="http://schemas.openxmlformats.org/officeDocument/2006/relationships/hyperlink" Target="https://www.worldometers.info/world-population/liechtenstein-population/" TargetMode="External"/><Relationship Id="rId311" Type="http://schemas.openxmlformats.org/officeDocument/2006/relationships/hyperlink" Target="https://www.worldometers.info/world-population/finland-population/" TargetMode="External"/><Relationship Id="rId332" Type="http://schemas.openxmlformats.org/officeDocument/2006/relationships/hyperlink" Target="https://www.worldometers.info/world-population/armenia-population/" TargetMode="External"/><Relationship Id="rId353" Type="http://schemas.openxmlformats.org/officeDocument/2006/relationships/hyperlink" Target="https://www.worldometers.info/world-population/fiji-population/" TargetMode="External"/><Relationship Id="rId374" Type="http://schemas.openxmlformats.org/officeDocument/2006/relationships/hyperlink" Target="https://www.worldometers.info/world-population/seychelles-population/" TargetMode="External"/><Relationship Id="rId395" Type="http://schemas.openxmlformats.org/officeDocument/2006/relationships/hyperlink" Target="https://www.worldometers.info/world-population/western-sahara-population/" TargetMode="External"/><Relationship Id="rId409" Type="http://schemas.openxmlformats.org/officeDocument/2006/relationships/hyperlink" Target="https://www.worldometers.info/world-population/guam-population/" TargetMode="External"/><Relationship Id="rId71" Type="http://schemas.openxmlformats.org/officeDocument/2006/relationships/hyperlink" Target="https://www.worldometers.info/world-population/ecuador-population/" TargetMode="External"/><Relationship Id="rId92" Type="http://schemas.openxmlformats.org/officeDocument/2006/relationships/hyperlink" Target="https://www.worldometers.info/world-population/portugal-population/" TargetMode="External"/><Relationship Id="rId213" Type="http://schemas.openxmlformats.org/officeDocument/2006/relationships/hyperlink" Target="https://www.worldometers.info/world-population/turkey-population/" TargetMode="External"/><Relationship Id="rId234" Type="http://schemas.openxmlformats.org/officeDocument/2006/relationships/hyperlink" Target="https://www.worldometers.info/world-population/angola-population/" TargetMode="External"/><Relationship Id="rId420" Type="http://schemas.openxmlformats.org/officeDocument/2006/relationships/hyperlink" Target="https://www.worldometers.info/world-population/caribbean-netherlands-population/" TargetMode="External"/><Relationship Id="rId2" Type="http://schemas.openxmlformats.org/officeDocument/2006/relationships/hyperlink" Target="https://www.worldometers.info/world-population/china-population/" TargetMode="External"/><Relationship Id="rId29" Type="http://schemas.openxmlformats.org/officeDocument/2006/relationships/hyperlink" Target="https://www.worldometers.info/world-population/south-korea-population/" TargetMode="External"/><Relationship Id="rId255" Type="http://schemas.openxmlformats.org/officeDocument/2006/relationships/hyperlink" Target="https://www.worldometers.info/world-population/sri-lanka-population/" TargetMode="External"/><Relationship Id="rId276" Type="http://schemas.openxmlformats.org/officeDocument/2006/relationships/hyperlink" Target="https://www.worldometers.info/world-population/haiti-population/" TargetMode="External"/><Relationship Id="rId297" Type="http://schemas.openxmlformats.org/officeDocument/2006/relationships/hyperlink" Target="https://www.worldometers.info/world-population/laos-population/" TargetMode="External"/><Relationship Id="rId40" Type="http://schemas.openxmlformats.org/officeDocument/2006/relationships/hyperlink" Target="https://www.worldometers.info/world-population/ukraine-population/" TargetMode="External"/><Relationship Id="rId115" Type="http://schemas.openxmlformats.org/officeDocument/2006/relationships/hyperlink" Target="https://www.worldometers.info/world-population/liberia-population/" TargetMode="External"/><Relationship Id="rId136" Type="http://schemas.openxmlformats.org/officeDocument/2006/relationships/hyperlink" Target="https://www.worldometers.info/world-population/moldova-population/" TargetMode="External"/><Relationship Id="rId157" Type="http://schemas.openxmlformats.org/officeDocument/2006/relationships/hyperlink" Target="https://www.worldometers.info/world-population/djibouti-population/" TargetMode="External"/><Relationship Id="rId178" Type="http://schemas.openxmlformats.org/officeDocument/2006/relationships/hyperlink" Target="https://www.worldometers.info/world-population/kiribati-population/" TargetMode="External"/><Relationship Id="rId301" Type="http://schemas.openxmlformats.org/officeDocument/2006/relationships/hyperlink" Target="https://www.worldometers.info/world-population/paraguay-population/" TargetMode="External"/><Relationship Id="rId322" Type="http://schemas.openxmlformats.org/officeDocument/2006/relationships/hyperlink" Target="https://www.worldometers.info/world-population/panama-population/" TargetMode="External"/><Relationship Id="rId343" Type="http://schemas.openxmlformats.org/officeDocument/2006/relationships/hyperlink" Target="https://www.worldometers.info/world-population/latvia-population/" TargetMode="External"/><Relationship Id="rId364" Type="http://schemas.openxmlformats.org/officeDocument/2006/relationships/hyperlink" Target="https://www.worldometers.info/world-population/brunei-darussalam-population/" TargetMode="External"/><Relationship Id="rId61" Type="http://schemas.openxmlformats.org/officeDocument/2006/relationships/hyperlink" Target="https://www.worldometers.info/world-population/malawi-population/" TargetMode="External"/><Relationship Id="rId82" Type="http://schemas.openxmlformats.org/officeDocument/2006/relationships/hyperlink" Target="https://www.worldometers.info/world-population/belgium-population/" TargetMode="External"/><Relationship Id="rId199" Type="http://schemas.openxmlformats.org/officeDocument/2006/relationships/hyperlink" Target="https://www.worldometers.info/world-population/indonesia-population/" TargetMode="External"/><Relationship Id="rId203" Type="http://schemas.openxmlformats.org/officeDocument/2006/relationships/hyperlink" Target="https://www.worldometers.info/world-population/bangladesh-population/" TargetMode="External"/><Relationship Id="rId385" Type="http://schemas.openxmlformats.org/officeDocument/2006/relationships/hyperlink" Target="https://www.worldometers.info/world-population/marshall-islands-population/" TargetMode="External"/><Relationship Id="rId19" Type="http://schemas.openxmlformats.org/officeDocument/2006/relationships/hyperlink" Target="https://www.worldometers.info/world-population/germany-population/" TargetMode="External"/><Relationship Id="rId224" Type="http://schemas.openxmlformats.org/officeDocument/2006/relationships/hyperlink" Target="https://www.worldometers.info/world-population/south-korea-population/" TargetMode="External"/><Relationship Id="rId245" Type="http://schemas.openxmlformats.org/officeDocument/2006/relationships/hyperlink" Target="https://www.worldometers.info/world-population/cote-d-ivoire-population/" TargetMode="External"/><Relationship Id="rId266" Type="http://schemas.openxmlformats.org/officeDocument/2006/relationships/hyperlink" Target="https://www.worldometers.info/world-population/ecuador-population/" TargetMode="External"/><Relationship Id="rId287" Type="http://schemas.openxmlformats.org/officeDocument/2006/relationships/hyperlink" Target="https://www.worldometers.info/world-population/portugal-population/" TargetMode="External"/><Relationship Id="rId410" Type="http://schemas.openxmlformats.org/officeDocument/2006/relationships/hyperlink" Target="https://www.worldometers.info/world-population/aruba-population/" TargetMode="External"/><Relationship Id="rId431" Type="http://schemas.openxmlformats.org/officeDocument/2006/relationships/comments" Target="../comments1.xml"/><Relationship Id="rId30" Type="http://schemas.openxmlformats.org/officeDocument/2006/relationships/hyperlink" Target="https://www.worldometers.info/world-population/sudan-population/" TargetMode="External"/><Relationship Id="rId105" Type="http://schemas.openxmlformats.org/officeDocument/2006/relationships/hyperlink" Target="https://www.worldometers.info/world-population/kyrgyzstan-population/" TargetMode="External"/><Relationship Id="rId126" Type="http://schemas.openxmlformats.org/officeDocument/2006/relationships/hyperlink" Target="https://www.worldometers.info/world-population/kuwait-population/" TargetMode="External"/><Relationship Id="rId147" Type="http://schemas.openxmlformats.org/officeDocument/2006/relationships/hyperlink" Target="https://www.worldometers.info/world-population/equatorial-guinea-population/" TargetMode="External"/><Relationship Id="rId168" Type="http://schemas.openxmlformats.org/officeDocument/2006/relationships/hyperlink" Target="https://www.worldometers.info/world-population/cabo-verde-population/" TargetMode="External"/><Relationship Id="rId312" Type="http://schemas.openxmlformats.org/officeDocument/2006/relationships/hyperlink" Target="https://www.worldometers.info/world-population/norway-population/" TargetMode="External"/><Relationship Id="rId333" Type="http://schemas.openxmlformats.org/officeDocument/2006/relationships/hyperlink" Target="https://www.worldometers.info/world-population/jamaica-population/" TargetMode="External"/><Relationship Id="rId354" Type="http://schemas.openxmlformats.org/officeDocument/2006/relationships/hyperlink" Target="https://www.worldometers.info/world-population/comoros-population/" TargetMode="External"/><Relationship Id="rId51" Type="http://schemas.openxmlformats.org/officeDocument/2006/relationships/hyperlink" Target="https://www.worldometers.info/world-population/cameroon-population/" TargetMode="External"/><Relationship Id="rId72" Type="http://schemas.openxmlformats.org/officeDocument/2006/relationships/hyperlink" Target="https://www.worldometers.info/world-population/cambodia-population/" TargetMode="External"/><Relationship Id="rId93" Type="http://schemas.openxmlformats.org/officeDocument/2006/relationships/hyperlink" Target="https://www.worldometers.info/world-population/azerbaijan-population/" TargetMode="External"/><Relationship Id="rId189" Type="http://schemas.openxmlformats.org/officeDocument/2006/relationships/hyperlink" Target="https://www.worldometers.info/world-population/monaco-population/" TargetMode="External"/><Relationship Id="rId375" Type="http://schemas.openxmlformats.org/officeDocument/2006/relationships/hyperlink" Target="https://www.worldometers.info/world-population/grenada-population/" TargetMode="External"/><Relationship Id="rId396" Type="http://schemas.openxmlformats.org/officeDocument/2006/relationships/hyperlink" Target="https://www.worldometers.info/world-population/french-guiana-population/" TargetMode="External"/><Relationship Id="rId3" Type="http://schemas.openxmlformats.org/officeDocument/2006/relationships/hyperlink" Target="https://www.worldometers.info/world-population/us-population/" TargetMode="External"/><Relationship Id="rId214" Type="http://schemas.openxmlformats.org/officeDocument/2006/relationships/hyperlink" Target="https://www.worldometers.info/world-population/germany-population/" TargetMode="External"/><Relationship Id="rId235" Type="http://schemas.openxmlformats.org/officeDocument/2006/relationships/hyperlink" Target="https://www.worldometers.info/world-population/ukraine-population/" TargetMode="External"/><Relationship Id="rId256" Type="http://schemas.openxmlformats.org/officeDocument/2006/relationships/hyperlink" Target="https://www.worldometers.info/world-population/malawi-population/" TargetMode="External"/><Relationship Id="rId277" Type="http://schemas.openxmlformats.org/officeDocument/2006/relationships/hyperlink" Target="https://www.worldometers.info/world-population/belgium-population/" TargetMode="External"/><Relationship Id="rId298" Type="http://schemas.openxmlformats.org/officeDocument/2006/relationships/hyperlink" Target="https://www.worldometers.info/world-population/turkmenistan-population/" TargetMode="External"/><Relationship Id="rId400" Type="http://schemas.openxmlformats.org/officeDocument/2006/relationships/hyperlink" Target="https://www.worldometers.info/world-population/reunion-population/" TargetMode="External"/><Relationship Id="rId421" Type="http://schemas.openxmlformats.org/officeDocument/2006/relationships/hyperlink" Target="https://www.worldometers.info/world-population/anguilla-population/" TargetMode="External"/><Relationship Id="rId116" Type="http://schemas.openxmlformats.org/officeDocument/2006/relationships/hyperlink" Target="https://www.worldometers.info/world-population/finland-population/" TargetMode="External"/><Relationship Id="rId137" Type="http://schemas.openxmlformats.org/officeDocument/2006/relationships/hyperlink" Target="https://www.worldometers.info/world-population/armenia-population/" TargetMode="External"/><Relationship Id="rId158" Type="http://schemas.openxmlformats.org/officeDocument/2006/relationships/hyperlink" Target="https://www.worldometers.info/world-population/fiji-population/" TargetMode="External"/><Relationship Id="rId302" Type="http://schemas.openxmlformats.org/officeDocument/2006/relationships/hyperlink" Target="https://www.worldometers.info/world-population/nicaragua-population/" TargetMode="External"/><Relationship Id="rId323" Type="http://schemas.openxmlformats.org/officeDocument/2006/relationships/hyperlink" Target="https://www.worldometers.info/world-population/croatia-population/" TargetMode="External"/><Relationship Id="rId344" Type="http://schemas.openxmlformats.org/officeDocument/2006/relationships/hyperlink" Target="https://www.worldometers.info/world-population/north-macedonia-population/" TargetMode="External"/><Relationship Id="rId20" Type="http://schemas.openxmlformats.org/officeDocument/2006/relationships/hyperlink" Target="https://www.worldometers.info/world-population/thailand-population/" TargetMode="External"/><Relationship Id="rId41" Type="http://schemas.openxmlformats.org/officeDocument/2006/relationships/hyperlink" Target="https://www.worldometers.info/world-population/morocco-population/" TargetMode="External"/><Relationship Id="rId62" Type="http://schemas.openxmlformats.org/officeDocument/2006/relationships/hyperlink" Target="https://www.worldometers.info/world-population/zambia-population/" TargetMode="External"/><Relationship Id="rId83" Type="http://schemas.openxmlformats.org/officeDocument/2006/relationships/hyperlink" Target="https://www.worldometers.info/world-population/jordan-population/" TargetMode="External"/><Relationship Id="rId179" Type="http://schemas.openxmlformats.org/officeDocument/2006/relationships/hyperlink" Target="https://www.worldometers.info/world-population/seychelles-population/" TargetMode="External"/><Relationship Id="rId365" Type="http://schemas.openxmlformats.org/officeDocument/2006/relationships/hyperlink" Target="https://www.worldometers.info/world-population/belize-population/" TargetMode="External"/><Relationship Id="rId386" Type="http://schemas.openxmlformats.org/officeDocument/2006/relationships/hyperlink" Target="https://www.worldometers.info/world-population/san-marino-population/" TargetMode="External"/><Relationship Id="rId190" Type="http://schemas.openxmlformats.org/officeDocument/2006/relationships/hyperlink" Target="https://www.worldometers.info/world-population/marshall-islands-population/" TargetMode="External"/><Relationship Id="rId204" Type="http://schemas.openxmlformats.org/officeDocument/2006/relationships/hyperlink" Target="https://www.worldometers.info/world-population/russia-population/" TargetMode="External"/><Relationship Id="rId225" Type="http://schemas.openxmlformats.org/officeDocument/2006/relationships/hyperlink" Target="https://www.worldometers.info/world-population/sudan-population/" TargetMode="External"/><Relationship Id="rId246" Type="http://schemas.openxmlformats.org/officeDocument/2006/relationships/hyperlink" Target="https://www.worldometers.info/world-population/cameroon-population/" TargetMode="External"/><Relationship Id="rId267" Type="http://schemas.openxmlformats.org/officeDocument/2006/relationships/hyperlink" Target="https://www.worldometers.info/world-population/cambodia-population/" TargetMode="External"/><Relationship Id="rId288" Type="http://schemas.openxmlformats.org/officeDocument/2006/relationships/hyperlink" Target="https://www.worldometers.info/world-population/azerbaijan-population/" TargetMode="External"/><Relationship Id="rId411" Type="http://schemas.openxmlformats.org/officeDocument/2006/relationships/hyperlink" Target="https://www.worldometers.info/world-population/united-states-virgin-islands-population/" TargetMode="External"/><Relationship Id="rId106" Type="http://schemas.openxmlformats.org/officeDocument/2006/relationships/hyperlink" Target="https://www.worldometers.info/world-population/paraguay-population/" TargetMode="External"/><Relationship Id="rId127" Type="http://schemas.openxmlformats.org/officeDocument/2006/relationships/hyperlink" Target="https://www.worldometers.info/world-population/panama-population/" TargetMode="External"/><Relationship Id="rId313" Type="http://schemas.openxmlformats.org/officeDocument/2006/relationships/hyperlink" Target="https://www.worldometers.info/world-population/state-of-palestine-population/" TargetMode="External"/><Relationship Id="rId10" Type="http://schemas.openxmlformats.org/officeDocument/2006/relationships/hyperlink" Target="https://www.worldometers.info/world-population/ethiopia-population/" TargetMode="External"/><Relationship Id="rId31" Type="http://schemas.openxmlformats.org/officeDocument/2006/relationships/hyperlink" Target="https://www.worldometers.info/world-population/uganda-population/" TargetMode="External"/><Relationship Id="rId52" Type="http://schemas.openxmlformats.org/officeDocument/2006/relationships/hyperlink" Target="https://www.worldometers.info/world-population/nepal-population/" TargetMode="External"/><Relationship Id="rId73" Type="http://schemas.openxmlformats.org/officeDocument/2006/relationships/hyperlink" Target="https://www.worldometers.info/world-population/zimbabwe-population/" TargetMode="External"/><Relationship Id="rId94" Type="http://schemas.openxmlformats.org/officeDocument/2006/relationships/hyperlink" Target="https://www.worldometers.info/world-population/greece-population/" TargetMode="External"/><Relationship Id="rId148" Type="http://schemas.openxmlformats.org/officeDocument/2006/relationships/hyperlink" Target="https://www.worldometers.info/world-population/latvia-population/" TargetMode="External"/><Relationship Id="rId169" Type="http://schemas.openxmlformats.org/officeDocument/2006/relationships/hyperlink" Target="https://www.worldometers.info/world-population/brunei-darussalam-population/" TargetMode="External"/><Relationship Id="rId334" Type="http://schemas.openxmlformats.org/officeDocument/2006/relationships/hyperlink" Target="https://www.worldometers.info/world-population/lithuania-population/" TargetMode="External"/><Relationship Id="rId355" Type="http://schemas.openxmlformats.org/officeDocument/2006/relationships/hyperlink" Target="https://www.worldometers.info/world-population/solomon-islands-population/" TargetMode="External"/><Relationship Id="rId376" Type="http://schemas.openxmlformats.org/officeDocument/2006/relationships/hyperlink" Target="https://www.worldometers.info/world-population/micronesia-population/" TargetMode="External"/><Relationship Id="rId397" Type="http://schemas.openxmlformats.org/officeDocument/2006/relationships/hyperlink" Target="https://www.worldometers.info/world-population/new-caledonia-population/" TargetMode="External"/><Relationship Id="rId4" Type="http://schemas.openxmlformats.org/officeDocument/2006/relationships/hyperlink" Target="https://www.worldometers.info/world-population/indonesia-population/" TargetMode="External"/><Relationship Id="rId180" Type="http://schemas.openxmlformats.org/officeDocument/2006/relationships/hyperlink" Target="https://www.worldometers.info/world-population/grenada-population/" TargetMode="External"/><Relationship Id="rId215" Type="http://schemas.openxmlformats.org/officeDocument/2006/relationships/hyperlink" Target="https://www.worldometers.info/world-population/thailand-population/" TargetMode="External"/><Relationship Id="rId236" Type="http://schemas.openxmlformats.org/officeDocument/2006/relationships/hyperlink" Target="https://www.worldometers.info/world-population/morocco-population/" TargetMode="External"/><Relationship Id="rId257" Type="http://schemas.openxmlformats.org/officeDocument/2006/relationships/hyperlink" Target="https://www.worldometers.info/world-population/zambia-population/" TargetMode="External"/><Relationship Id="rId278" Type="http://schemas.openxmlformats.org/officeDocument/2006/relationships/hyperlink" Target="https://www.worldometers.info/world-population/jordan-population/" TargetMode="External"/><Relationship Id="rId401" Type="http://schemas.openxmlformats.org/officeDocument/2006/relationships/hyperlink" Target="https://www.worldometers.info/world-population/guadeloupe-population/" TargetMode="External"/><Relationship Id="rId422" Type="http://schemas.openxmlformats.org/officeDocument/2006/relationships/hyperlink" Target="https://www.worldometers.info/world-population/saint-barthelemy-population/" TargetMode="External"/><Relationship Id="rId303" Type="http://schemas.openxmlformats.org/officeDocument/2006/relationships/hyperlink" Target="https://www.worldometers.info/world-population/bulgaria-population/" TargetMode="External"/><Relationship Id="rId42" Type="http://schemas.openxmlformats.org/officeDocument/2006/relationships/hyperlink" Target="https://www.worldometers.info/world-population/poland-population/" TargetMode="External"/><Relationship Id="rId84" Type="http://schemas.openxmlformats.org/officeDocument/2006/relationships/hyperlink" Target="https://www.worldometers.info/world-population/dominican-republic-population/" TargetMode="External"/><Relationship Id="rId138" Type="http://schemas.openxmlformats.org/officeDocument/2006/relationships/hyperlink" Target="https://www.worldometers.info/world-population/jamaica-population/" TargetMode="External"/><Relationship Id="rId345" Type="http://schemas.openxmlformats.org/officeDocument/2006/relationships/hyperlink" Target="https://www.worldometers.info/world-population/bahrain-population/" TargetMode="External"/><Relationship Id="rId387" Type="http://schemas.openxmlformats.org/officeDocument/2006/relationships/hyperlink" Target="https://www.worldometers.info/world-population/palau-population/" TargetMode="External"/><Relationship Id="rId191" Type="http://schemas.openxmlformats.org/officeDocument/2006/relationships/hyperlink" Target="https://www.worldometers.info/world-population/san-marino-population/" TargetMode="External"/><Relationship Id="rId205" Type="http://schemas.openxmlformats.org/officeDocument/2006/relationships/hyperlink" Target="https://www.worldometers.info/world-population/ethiopia-population/" TargetMode="External"/><Relationship Id="rId247" Type="http://schemas.openxmlformats.org/officeDocument/2006/relationships/hyperlink" Target="https://www.worldometers.info/world-population/nepal-population/" TargetMode="External"/><Relationship Id="rId412" Type="http://schemas.openxmlformats.org/officeDocument/2006/relationships/hyperlink" Target="https://www.worldometers.info/world-population/isle-of-man-population/" TargetMode="External"/><Relationship Id="rId107" Type="http://schemas.openxmlformats.org/officeDocument/2006/relationships/hyperlink" Target="https://www.worldometers.info/world-population/nicaragua-population/" TargetMode="External"/><Relationship Id="rId289" Type="http://schemas.openxmlformats.org/officeDocument/2006/relationships/hyperlink" Target="https://www.worldometers.info/world-population/greece-population/" TargetMode="External"/><Relationship Id="rId11" Type="http://schemas.openxmlformats.org/officeDocument/2006/relationships/hyperlink" Target="https://www.worldometers.info/world-population/mexico-population/" TargetMode="External"/><Relationship Id="rId53" Type="http://schemas.openxmlformats.org/officeDocument/2006/relationships/hyperlink" Target="https://www.worldometers.info/world-population/venezuela-population/" TargetMode="External"/><Relationship Id="rId149" Type="http://schemas.openxmlformats.org/officeDocument/2006/relationships/hyperlink" Target="https://www.worldometers.info/world-population/north-macedonia-population/" TargetMode="External"/><Relationship Id="rId314" Type="http://schemas.openxmlformats.org/officeDocument/2006/relationships/hyperlink" Target="https://www.worldometers.info/world-population/central-african-republic-population/" TargetMode="External"/><Relationship Id="rId356" Type="http://schemas.openxmlformats.org/officeDocument/2006/relationships/hyperlink" Target="https://www.worldometers.info/world-population/guyana-population/" TargetMode="External"/><Relationship Id="rId398" Type="http://schemas.openxmlformats.org/officeDocument/2006/relationships/hyperlink" Target="https://www.worldometers.info/world-population/falkland-islands-malvinas-population/" TargetMode="External"/><Relationship Id="rId95" Type="http://schemas.openxmlformats.org/officeDocument/2006/relationships/hyperlink" Target="https://www.worldometers.info/world-population/togo-population/" TargetMode="External"/><Relationship Id="rId160" Type="http://schemas.openxmlformats.org/officeDocument/2006/relationships/hyperlink" Target="https://www.worldometers.info/world-population/solomon-islands-population/" TargetMode="External"/><Relationship Id="rId216" Type="http://schemas.openxmlformats.org/officeDocument/2006/relationships/hyperlink" Target="https://www.worldometers.info/world-population/tanzania-population/" TargetMode="External"/><Relationship Id="rId423" Type="http://schemas.openxmlformats.org/officeDocument/2006/relationships/hyperlink" Target="https://www.worldometers.info/world-population/wallis-and-futuna-islands-population/" TargetMode="External"/><Relationship Id="rId258" Type="http://schemas.openxmlformats.org/officeDocument/2006/relationships/hyperlink" Target="https://www.worldometers.info/world-population/chad-population/" TargetMode="External"/><Relationship Id="rId22" Type="http://schemas.openxmlformats.org/officeDocument/2006/relationships/hyperlink" Target="https://www.worldometers.info/world-population/uk-population/" TargetMode="External"/><Relationship Id="rId64" Type="http://schemas.openxmlformats.org/officeDocument/2006/relationships/hyperlink" Target="https://www.worldometers.info/world-population/kazakhstan-population/" TargetMode="External"/><Relationship Id="rId118" Type="http://schemas.openxmlformats.org/officeDocument/2006/relationships/hyperlink" Target="https://www.worldometers.info/world-population/state-of-palestine-population/" TargetMode="External"/><Relationship Id="rId325" Type="http://schemas.openxmlformats.org/officeDocument/2006/relationships/hyperlink" Target="https://www.worldometers.info/world-population/eritrea-population/" TargetMode="External"/><Relationship Id="rId367" Type="http://schemas.openxmlformats.org/officeDocument/2006/relationships/hyperlink" Target="https://www.worldometers.info/world-population/iceland-population/" TargetMode="External"/><Relationship Id="rId171" Type="http://schemas.openxmlformats.org/officeDocument/2006/relationships/hyperlink" Target="https://www.worldometers.info/world-population/bahamas-population/" TargetMode="External"/><Relationship Id="rId227" Type="http://schemas.openxmlformats.org/officeDocument/2006/relationships/hyperlink" Target="https://www.worldometers.info/world-population/spain-population/" TargetMode="External"/><Relationship Id="rId269" Type="http://schemas.openxmlformats.org/officeDocument/2006/relationships/hyperlink" Target="https://www.worldometers.info/world-population/guinea-population/" TargetMode="External"/><Relationship Id="rId33" Type="http://schemas.openxmlformats.org/officeDocument/2006/relationships/hyperlink" Target="https://www.worldometers.info/world-population/algeria-population/" TargetMode="External"/><Relationship Id="rId129" Type="http://schemas.openxmlformats.org/officeDocument/2006/relationships/hyperlink" Target="https://www.worldometers.info/world-population/georgia-population/" TargetMode="External"/><Relationship Id="rId280" Type="http://schemas.openxmlformats.org/officeDocument/2006/relationships/hyperlink" Target="https://www.worldometers.info/world-population/united-arab-emirates-population/" TargetMode="External"/><Relationship Id="rId336" Type="http://schemas.openxmlformats.org/officeDocument/2006/relationships/hyperlink" Target="https://www.worldometers.info/world-population/albania-population/" TargetMode="External"/><Relationship Id="rId75" Type="http://schemas.openxmlformats.org/officeDocument/2006/relationships/hyperlink" Target="https://www.worldometers.info/world-population/benin-population/" TargetMode="External"/><Relationship Id="rId140" Type="http://schemas.openxmlformats.org/officeDocument/2006/relationships/hyperlink" Target="https://www.worldometers.info/world-population/gambia-population/" TargetMode="External"/><Relationship Id="rId182" Type="http://schemas.openxmlformats.org/officeDocument/2006/relationships/hyperlink" Target="https://www.worldometers.info/world-population/tonga-population/" TargetMode="External"/><Relationship Id="rId378" Type="http://schemas.openxmlformats.org/officeDocument/2006/relationships/hyperlink" Target="https://www.worldometers.info/world-population/saint-vincent-and-the-grenadines-population/" TargetMode="External"/><Relationship Id="rId403" Type="http://schemas.openxmlformats.org/officeDocument/2006/relationships/hyperlink" Target="https://www.worldometers.info/world-population/martinique-population/" TargetMode="External"/><Relationship Id="rId6" Type="http://schemas.openxmlformats.org/officeDocument/2006/relationships/hyperlink" Target="https://www.worldometers.info/world-population/nigeria-population/" TargetMode="External"/><Relationship Id="rId238" Type="http://schemas.openxmlformats.org/officeDocument/2006/relationships/hyperlink" Target="https://www.worldometers.info/world-population/uzbekistan-population/" TargetMode="External"/><Relationship Id="rId291" Type="http://schemas.openxmlformats.org/officeDocument/2006/relationships/hyperlink" Target="https://www.worldometers.info/world-population/hungary-population/" TargetMode="External"/><Relationship Id="rId305" Type="http://schemas.openxmlformats.org/officeDocument/2006/relationships/hyperlink" Target="https://www.worldometers.info/world-population/congo-population/" TargetMode="External"/><Relationship Id="rId347" Type="http://schemas.openxmlformats.org/officeDocument/2006/relationships/hyperlink" Target="https://www.worldometers.info/world-population/timor-leste-population/" TargetMode="External"/><Relationship Id="rId44" Type="http://schemas.openxmlformats.org/officeDocument/2006/relationships/hyperlink" Target="https://www.worldometers.info/world-population/malaysia-population/" TargetMode="External"/><Relationship Id="rId86" Type="http://schemas.openxmlformats.org/officeDocument/2006/relationships/hyperlink" Target="https://www.worldometers.info/world-population/honduras-population/" TargetMode="External"/><Relationship Id="rId151" Type="http://schemas.openxmlformats.org/officeDocument/2006/relationships/hyperlink" Target="https://www.worldometers.info/world-population/trinidad-and-tobago-population/" TargetMode="External"/><Relationship Id="rId389" Type="http://schemas.openxmlformats.org/officeDocument/2006/relationships/hyperlink" Target="https://www.worldometers.info/world-population/tuvalu-population/" TargetMode="External"/><Relationship Id="rId193" Type="http://schemas.openxmlformats.org/officeDocument/2006/relationships/hyperlink" Target="https://www.worldometers.info/world-population/nauru-population/" TargetMode="External"/><Relationship Id="rId207" Type="http://schemas.openxmlformats.org/officeDocument/2006/relationships/hyperlink" Target="https://www.worldometers.info/world-population/japan-population/" TargetMode="External"/><Relationship Id="rId249" Type="http://schemas.openxmlformats.org/officeDocument/2006/relationships/hyperlink" Target="https://www.worldometers.info/world-population/niger-population/" TargetMode="External"/><Relationship Id="rId414" Type="http://schemas.openxmlformats.org/officeDocument/2006/relationships/hyperlink" Target="https://www.worldometers.info/world-population/bermuda-population/" TargetMode="External"/><Relationship Id="rId13" Type="http://schemas.openxmlformats.org/officeDocument/2006/relationships/hyperlink" Target="https://www.worldometers.info/world-population/egypt-population/" TargetMode="External"/><Relationship Id="rId109" Type="http://schemas.openxmlformats.org/officeDocument/2006/relationships/hyperlink" Target="https://www.worldometers.info/world-population/serbia-population/" TargetMode="External"/><Relationship Id="rId260" Type="http://schemas.openxmlformats.org/officeDocument/2006/relationships/hyperlink" Target="https://www.worldometers.info/world-population/chile-population/" TargetMode="External"/><Relationship Id="rId316" Type="http://schemas.openxmlformats.org/officeDocument/2006/relationships/hyperlink" Target="https://www.worldometers.info/world-population/slovakia-population/" TargetMode="External"/><Relationship Id="rId55" Type="http://schemas.openxmlformats.org/officeDocument/2006/relationships/hyperlink" Target="https://www.worldometers.info/world-population/australia-population/" TargetMode="External"/><Relationship Id="rId97" Type="http://schemas.openxmlformats.org/officeDocument/2006/relationships/hyperlink" Target="https://www.worldometers.info/world-population/israel-population/" TargetMode="External"/><Relationship Id="rId120" Type="http://schemas.openxmlformats.org/officeDocument/2006/relationships/hyperlink" Target="https://www.worldometers.info/world-population/oman-population/" TargetMode="External"/><Relationship Id="rId358" Type="http://schemas.openxmlformats.org/officeDocument/2006/relationships/hyperlink" Target="https://www.worldometers.info/world-population/luxembourg-population/" TargetMode="External"/><Relationship Id="rId162" Type="http://schemas.openxmlformats.org/officeDocument/2006/relationships/hyperlink" Target="https://www.worldometers.info/world-population/bhutan-population/" TargetMode="External"/><Relationship Id="rId218" Type="http://schemas.openxmlformats.org/officeDocument/2006/relationships/hyperlink" Target="https://www.worldometers.info/world-population/france-population/" TargetMode="External"/><Relationship Id="rId425" Type="http://schemas.openxmlformats.org/officeDocument/2006/relationships/hyperlink" Target="https://www.worldometers.info/world-population/saint-helena-population/" TargetMode="External"/><Relationship Id="rId271" Type="http://schemas.openxmlformats.org/officeDocument/2006/relationships/hyperlink" Target="https://www.worldometers.info/world-population/rwanda-population/" TargetMode="External"/><Relationship Id="rId24" Type="http://schemas.openxmlformats.org/officeDocument/2006/relationships/hyperlink" Target="https://www.worldometers.info/world-population/south-africa-population/" TargetMode="External"/><Relationship Id="rId66" Type="http://schemas.openxmlformats.org/officeDocument/2006/relationships/hyperlink" Target="https://www.worldometers.info/world-population/somalia-population/" TargetMode="External"/><Relationship Id="rId131" Type="http://schemas.openxmlformats.org/officeDocument/2006/relationships/hyperlink" Target="https://www.worldometers.info/world-population/mongolia-population/" TargetMode="External"/><Relationship Id="rId327" Type="http://schemas.openxmlformats.org/officeDocument/2006/relationships/hyperlink" Target="https://www.worldometers.info/world-population/uruguay-population/" TargetMode="External"/><Relationship Id="rId369" Type="http://schemas.openxmlformats.org/officeDocument/2006/relationships/hyperlink" Target="https://www.worldometers.info/world-population/barbados-population/" TargetMode="External"/><Relationship Id="rId173" Type="http://schemas.openxmlformats.org/officeDocument/2006/relationships/hyperlink" Target="https://www.worldometers.info/world-population/vanuatu-population/" TargetMode="External"/><Relationship Id="rId229" Type="http://schemas.openxmlformats.org/officeDocument/2006/relationships/hyperlink" Target="https://www.worldometers.info/world-population/iraq-population/" TargetMode="External"/><Relationship Id="rId380" Type="http://schemas.openxmlformats.org/officeDocument/2006/relationships/hyperlink" Target="https://www.worldometers.info/world-population/andorra-population/" TargetMode="External"/><Relationship Id="rId240" Type="http://schemas.openxmlformats.org/officeDocument/2006/relationships/hyperlink" Target="https://www.worldometers.info/world-population/mozambique-population/" TargetMode="External"/><Relationship Id="rId35" Type="http://schemas.openxmlformats.org/officeDocument/2006/relationships/hyperlink" Target="https://www.worldometers.info/world-population/argentina-population/" TargetMode="External"/><Relationship Id="rId77" Type="http://schemas.openxmlformats.org/officeDocument/2006/relationships/hyperlink" Target="https://www.worldometers.info/world-population/burundi-population/" TargetMode="External"/><Relationship Id="rId100" Type="http://schemas.openxmlformats.org/officeDocument/2006/relationships/hyperlink" Target="https://www.worldometers.info/world-population/switzerland-population/" TargetMode="External"/><Relationship Id="rId282" Type="http://schemas.openxmlformats.org/officeDocument/2006/relationships/hyperlink" Target="https://www.worldometers.info/world-population/cuba-population/" TargetMode="External"/><Relationship Id="rId338" Type="http://schemas.openxmlformats.org/officeDocument/2006/relationships/hyperlink" Target="https://www.worldometers.info/world-population/botswana-population/" TargetMode="External"/><Relationship Id="rId8" Type="http://schemas.openxmlformats.org/officeDocument/2006/relationships/hyperlink" Target="https://www.worldometers.info/world-population/bangladesh-population/" TargetMode="External"/><Relationship Id="rId142" Type="http://schemas.openxmlformats.org/officeDocument/2006/relationships/hyperlink" Target="https://www.worldometers.info/world-population/gabon-population/" TargetMode="External"/><Relationship Id="rId184" Type="http://schemas.openxmlformats.org/officeDocument/2006/relationships/hyperlink" Target="https://www.worldometers.info/world-population/antigua-and-barbuda-population/" TargetMode="External"/><Relationship Id="rId391" Type="http://schemas.openxmlformats.org/officeDocument/2006/relationships/hyperlink" Target="https://www.worldometers.info/world-population/taiwan-population/" TargetMode="External"/><Relationship Id="rId405" Type="http://schemas.openxmlformats.org/officeDocument/2006/relationships/hyperlink" Target="https://www.worldometers.info/world-population/turks-and-caicos-islands-population/" TargetMode="External"/><Relationship Id="rId251" Type="http://schemas.openxmlformats.org/officeDocument/2006/relationships/hyperlink" Target="https://www.worldometers.info/world-population/north-korea-population/" TargetMode="External"/><Relationship Id="rId46" Type="http://schemas.openxmlformats.org/officeDocument/2006/relationships/hyperlink" Target="https://www.worldometers.info/world-population/ghana-population/" TargetMode="External"/><Relationship Id="rId293" Type="http://schemas.openxmlformats.org/officeDocument/2006/relationships/hyperlink" Target="https://www.worldometers.info/world-population/austria-population/" TargetMode="External"/><Relationship Id="rId307" Type="http://schemas.openxmlformats.org/officeDocument/2006/relationships/hyperlink" Target="https://www.worldometers.info/world-population/denmark-population/" TargetMode="External"/><Relationship Id="rId349" Type="http://schemas.openxmlformats.org/officeDocument/2006/relationships/hyperlink" Target="https://www.worldometers.info/world-population/estonia-population/" TargetMode="External"/><Relationship Id="rId88" Type="http://schemas.openxmlformats.org/officeDocument/2006/relationships/hyperlink" Target="https://www.worldometers.info/world-population/tajikistan-population/" TargetMode="External"/><Relationship Id="rId111" Type="http://schemas.openxmlformats.org/officeDocument/2006/relationships/hyperlink" Target="https://www.worldometers.info/world-population/el-salvador-population/" TargetMode="External"/><Relationship Id="rId153" Type="http://schemas.openxmlformats.org/officeDocument/2006/relationships/hyperlink" Target="https://www.worldometers.info/world-population/cyprus-population/" TargetMode="External"/><Relationship Id="rId195" Type="http://schemas.openxmlformats.org/officeDocument/2006/relationships/hyperlink" Target="https://www.worldometers.info/world-population/holy-see-population/" TargetMode="External"/><Relationship Id="rId209" Type="http://schemas.openxmlformats.org/officeDocument/2006/relationships/hyperlink" Target="https://www.worldometers.info/world-population/philippines-population/" TargetMode="External"/><Relationship Id="rId360" Type="http://schemas.openxmlformats.org/officeDocument/2006/relationships/hyperlink" Target="https://www.worldometers.info/world-population/montenegro-population/" TargetMode="External"/><Relationship Id="rId416" Type="http://schemas.openxmlformats.org/officeDocument/2006/relationships/hyperlink" Target="https://www.worldometers.info/world-population/sint-maarten-population/" TargetMode="External"/><Relationship Id="rId220" Type="http://schemas.openxmlformats.org/officeDocument/2006/relationships/hyperlink" Target="https://www.worldometers.info/world-population/italy-population/" TargetMode="External"/><Relationship Id="rId15" Type="http://schemas.openxmlformats.org/officeDocument/2006/relationships/hyperlink" Target="https://www.worldometers.info/world-population/democratic-republic-of-the-congo-population/" TargetMode="External"/><Relationship Id="rId57" Type="http://schemas.openxmlformats.org/officeDocument/2006/relationships/hyperlink" Target="https://www.worldometers.info/world-population/syria-population/" TargetMode="External"/><Relationship Id="rId262" Type="http://schemas.openxmlformats.org/officeDocument/2006/relationships/hyperlink" Target="https://www.worldometers.info/world-population/senegal-population/" TargetMode="External"/><Relationship Id="rId318" Type="http://schemas.openxmlformats.org/officeDocument/2006/relationships/hyperlink" Target="https://www.worldometers.info/world-population/ireland-population/" TargetMode="External"/><Relationship Id="rId99" Type="http://schemas.openxmlformats.org/officeDocument/2006/relationships/hyperlink" Target="https://www.worldometers.info/world-population/belarus-population/" TargetMode="External"/><Relationship Id="rId122" Type="http://schemas.openxmlformats.org/officeDocument/2006/relationships/hyperlink" Target="https://www.worldometers.info/world-population/mauritania-population/" TargetMode="External"/><Relationship Id="rId164" Type="http://schemas.openxmlformats.org/officeDocument/2006/relationships/hyperlink" Target="https://www.worldometers.info/world-population/suriname-population/" TargetMode="External"/><Relationship Id="rId371" Type="http://schemas.openxmlformats.org/officeDocument/2006/relationships/hyperlink" Target="https://www.worldometers.info/world-population/samoa-population/" TargetMode="External"/><Relationship Id="rId427" Type="http://schemas.openxmlformats.org/officeDocument/2006/relationships/hyperlink" Target="https://www.worldometers.info/world-population/tokelau-population/" TargetMode="External"/><Relationship Id="rId26" Type="http://schemas.openxmlformats.org/officeDocument/2006/relationships/hyperlink" Target="https://www.worldometers.info/world-population/kenya-population/" TargetMode="External"/><Relationship Id="rId231" Type="http://schemas.openxmlformats.org/officeDocument/2006/relationships/hyperlink" Target="https://www.worldometers.info/world-population/afghanistan-population/" TargetMode="External"/><Relationship Id="rId273" Type="http://schemas.openxmlformats.org/officeDocument/2006/relationships/hyperlink" Target="https://www.worldometers.info/world-population/bolivia-population/" TargetMode="External"/><Relationship Id="rId329" Type="http://schemas.openxmlformats.org/officeDocument/2006/relationships/hyperlink" Target="https://www.worldometers.info/world-population/qatar-population/" TargetMode="External"/><Relationship Id="rId68" Type="http://schemas.openxmlformats.org/officeDocument/2006/relationships/hyperlink" Target="https://www.worldometers.info/world-population/romania-population/" TargetMode="External"/><Relationship Id="rId133" Type="http://schemas.openxmlformats.org/officeDocument/2006/relationships/hyperlink" Target="https://www.worldometers.info/world-population/bosnia-and-herzegovina-population/" TargetMode="External"/><Relationship Id="rId175" Type="http://schemas.openxmlformats.org/officeDocument/2006/relationships/hyperlink" Target="https://www.worldometers.info/world-population/sao-tome-and-principe-population/" TargetMode="External"/><Relationship Id="rId340" Type="http://schemas.openxmlformats.org/officeDocument/2006/relationships/hyperlink" Target="https://www.worldometers.info/world-population/guinea-bissau-population/" TargetMode="External"/><Relationship Id="rId200" Type="http://schemas.openxmlformats.org/officeDocument/2006/relationships/hyperlink" Target="https://www.worldometers.info/world-population/pakistan-population/" TargetMode="External"/><Relationship Id="rId382" Type="http://schemas.openxmlformats.org/officeDocument/2006/relationships/hyperlink" Target="https://www.worldometers.info/world-population/saint-kitts-and-nevis-population/" TargetMode="External"/><Relationship Id="rId242" Type="http://schemas.openxmlformats.org/officeDocument/2006/relationships/hyperlink" Target="https://www.worldometers.info/world-population/peru-population/" TargetMode="External"/><Relationship Id="rId284" Type="http://schemas.openxmlformats.org/officeDocument/2006/relationships/hyperlink" Target="https://www.worldometers.info/world-population/papua-new-guinea-population/" TargetMode="External"/><Relationship Id="rId37" Type="http://schemas.openxmlformats.org/officeDocument/2006/relationships/hyperlink" Target="https://www.worldometers.info/world-population/yemen-population/" TargetMode="External"/><Relationship Id="rId79" Type="http://schemas.openxmlformats.org/officeDocument/2006/relationships/hyperlink" Target="https://www.worldometers.info/world-population/tunisia-population/" TargetMode="External"/><Relationship Id="rId102" Type="http://schemas.openxmlformats.org/officeDocument/2006/relationships/hyperlink" Target="https://www.worldometers.info/world-population/laos-population/" TargetMode="External"/><Relationship Id="rId144" Type="http://schemas.openxmlformats.org/officeDocument/2006/relationships/hyperlink" Target="https://www.worldometers.info/world-population/lesotho-population/" TargetMode="External"/><Relationship Id="rId90" Type="http://schemas.openxmlformats.org/officeDocument/2006/relationships/hyperlink" Target="https://www.worldometers.info/world-population/sweden-population/" TargetMode="External"/><Relationship Id="rId186" Type="http://schemas.openxmlformats.org/officeDocument/2006/relationships/hyperlink" Target="https://www.worldometers.info/world-population/dominica-population/" TargetMode="External"/><Relationship Id="rId351" Type="http://schemas.openxmlformats.org/officeDocument/2006/relationships/hyperlink" Target="https://www.worldometers.info/world-population/swaziland-population/" TargetMode="External"/><Relationship Id="rId393" Type="http://schemas.openxmlformats.org/officeDocument/2006/relationships/hyperlink" Target="https://www.worldometers.info/world-population/puerto-rico-population/" TargetMode="External"/><Relationship Id="rId407" Type="http://schemas.openxmlformats.org/officeDocument/2006/relationships/hyperlink" Target="https://www.worldometers.info/world-population/curacao-population/" TargetMode="External"/><Relationship Id="rId211" Type="http://schemas.openxmlformats.org/officeDocument/2006/relationships/hyperlink" Target="https://www.worldometers.info/world-population/vietnam-population/" TargetMode="External"/><Relationship Id="rId253" Type="http://schemas.openxmlformats.org/officeDocument/2006/relationships/hyperlink" Target="https://www.worldometers.info/world-population/mali-population/" TargetMode="External"/><Relationship Id="rId295" Type="http://schemas.openxmlformats.org/officeDocument/2006/relationships/hyperlink" Target="https://www.worldometers.info/world-population/switzerland-population/" TargetMode="External"/><Relationship Id="rId309" Type="http://schemas.openxmlformats.org/officeDocument/2006/relationships/hyperlink" Target="https://www.worldometers.info/world-population/lebanon-population/" TargetMode="External"/><Relationship Id="rId48" Type="http://schemas.openxmlformats.org/officeDocument/2006/relationships/hyperlink" Target="https://www.worldometers.info/world-population/saudi-arabia-population/" TargetMode="External"/><Relationship Id="rId113" Type="http://schemas.openxmlformats.org/officeDocument/2006/relationships/hyperlink" Target="https://www.worldometers.info/world-population/singapore-population/" TargetMode="External"/><Relationship Id="rId320" Type="http://schemas.openxmlformats.org/officeDocument/2006/relationships/hyperlink" Target="https://www.worldometers.info/world-population/costa-rica-population/" TargetMode="External"/><Relationship Id="rId155" Type="http://schemas.openxmlformats.org/officeDocument/2006/relationships/hyperlink" Target="https://www.worldometers.info/world-population/mauritius-population/" TargetMode="External"/><Relationship Id="rId197" Type="http://schemas.openxmlformats.org/officeDocument/2006/relationships/hyperlink" Target="https://www.worldometers.info/world-population/china-population/" TargetMode="External"/><Relationship Id="rId362" Type="http://schemas.openxmlformats.org/officeDocument/2006/relationships/hyperlink" Target="https://www.worldometers.info/world-population/maldives-population/" TargetMode="External"/><Relationship Id="rId418" Type="http://schemas.openxmlformats.org/officeDocument/2006/relationships/hyperlink" Target="https://www.worldometers.info/world-population/gibraltar-population/" TargetMode="External"/><Relationship Id="rId222" Type="http://schemas.openxmlformats.org/officeDocument/2006/relationships/hyperlink" Target="https://www.worldometers.info/world-population/myanmar-population/" TargetMode="External"/><Relationship Id="rId264" Type="http://schemas.openxmlformats.org/officeDocument/2006/relationships/hyperlink" Target="https://www.worldometers.info/world-population/guatemala-population/" TargetMode="External"/><Relationship Id="rId17" Type="http://schemas.openxmlformats.org/officeDocument/2006/relationships/hyperlink" Target="https://www.worldometers.info/world-population/iran-population/" TargetMode="External"/><Relationship Id="rId59" Type="http://schemas.openxmlformats.org/officeDocument/2006/relationships/hyperlink" Target="https://www.worldometers.info/world-population/burkina-faso-population/" TargetMode="External"/><Relationship Id="rId124" Type="http://schemas.openxmlformats.org/officeDocument/2006/relationships/hyperlink" Target="https://www.worldometers.info/world-population/new-zealand-population/" TargetMode="External"/><Relationship Id="rId70" Type="http://schemas.openxmlformats.org/officeDocument/2006/relationships/hyperlink" Target="https://www.worldometers.info/world-population/netherlands-population/" TargetMode="External"/><Relationship Id="rId166" Type="http://schemas.openxmlformats.org/officeDocument/2006/relationships/hyperlink" Target="https://www.worldometers.info/world-population/malta-population/" TargetMode="External"/><Relationship Id="rId331" Type="http://schemas.openxmlformats.org/officeDocument/2006/relationships/hyperlink" Target="https://www.worldometers.info/world-population/moldova-population/" TargetMode="External"/><Relationship Id="rId373" Type="http://schemas.openxmlformats.org/officeDocument/2006/relationships/hyperlink" Target="https://www.worldometers.info/world-population/kiribati-population/" TargetMode="External"/><Relationship Id="rId429" Type="http://schemas.openxmlformats.org/officeDocument/2006/relationships/hyperlink" Target="https://www.worldometers.info/world-population/cook-islands-population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orldometers.info/world-population/liberia-population/" TargetMode="External"/><Relationship Id="rId21" Type="http://schemas.openxmlformats.org/officeDocument/2006/relationships/hyperlink" Target="https://www.worldometers.info/world-population/tanzania-population/" TargetMode="External"/><Relationship Id="rId42" Type="http://schemas.openxmlformats.org/officeDocument/2006/relationships/hyperlink" Target="https://www.worldometers.info/world-population/poland-population/" TargetMode="External"/><Relationship Id="rId63" Type="http://schemas.openxmlformats.org/officeDocument/2006/relationships/hyperlink" Target="https://www.worldometers.info/world-population/zambia-population/" TargetMode="External"/><Relationship Id="rId84" Type="http://schemas.openxmlformats.org/officeDocument/2006/relationships/hyperlink" Target="https://www.worldometers.info/world-population/jordan-population/" TargetMode="External"/><Relationship Id="rId138" Type="http://schemas.openxmlformats.org/officeDocument/2006/relationships/hyperlink" Target="https://www.worldometers.info/world-population/namibia-population/" TargetMode="External"/><Relationship Id="rId159" Type="http://schemas.openxmlformats.org/officeDocument/2006/relationships/hyperlink" Target="https://www.worldometers.info/world-population/swaziland-population/" TargetMode="External"/><Relationship Id="rId170" Type="http://schemas.openxmlformats.org/officeDocument/2006/relationships/hyperlink" Target="https://www.worldometers.info/world-population/montenegro-population/" TargetMode="External"/><Relationship Id="rId191" Type="http://schemas.openxmlformats.org/officeDocument/2006/relationships/hyperlink" Target="https://www.worldometers.info/world-population/guam-population/" TargetMode="External"/><Relationship Id="rId205" Type="http://schemas.openxmlformats.org/officeDocument/2006/relationships/hyperlink" Target="https://www.worldometers.info/world-population/bermuda-population/" TargetMode="External"/><Relationship Id="rId226" Type="http://schemas.openxmlformats.org/officeDocument/2006/relationships/hyperlink" Target="https://www.worldometers.info/world-population/tuvalu-population/" TargetMode="External"/><Relationship Id="rId107" Type="http://schemas.openxmlformats.org/officeDocument/2006/relationships/hyperlink" Target="https://www.worldometers.info/world-population/kyrgyzstan-population/" TargetMode="External"/><Relationship Id="rId11" Type="http://schemas.openxmlformats.org/officeDocument/2006/relationships/hyperlink" Target="https://www.worldometers.info/world-population/mexico-population/" TargetMode="External"/><Relationship Id="rId32" Type="http://schemas.openxmlformats.org/officeDocument/2006/relationships/hyperlink" Target="https://www.worldometers.info/world-population/spain-population/" TargetMode="External"/><Relationship Id="rId53" Type="http://schemas.openxmlformats.org/officeDocument/2006/relationships/hyperlink" Target="https://www.worldometers.info/world-population/venezuela-population/" TargetMode="External"/><Relationship Id="rId74" Type="http://schemas.openxmlformats.org/officeDocument/2006/relationships/hyperlink" Target="https://www.worldometers.info/world-population/zimbabwe-population/" TargetMode="External"/><Relationship Id="rId128" Type="http://schemas.openxmlformats.org/officeDocument/2006/relationships/hyperlink" Target="https://www.worldometers.info/world-population/kuwait-population/" TargetMode="External"/><Relationship Id="rId149" Type="http://schemas.openxmlformats.org/officeDocument/2006/relationships/hyperlink" Target="https://www.worldometers.info/world-population/slovenia-population/" TargetMode="External"/><Relationship Id="rId5" Type="http://schemas.openxmlformats.org/officeDocument/2006/relationships/hyperlink" Target="https://www.worldometers.info/world-population/pakistan-population/" TargetMode="External"/><Relationship Id="rId95" Type="http://schemas.openxmlformats.org/officeDocument/2006/relationships/hyperlink" Target="https://www.worldometers.info/world-population/greece-population/" TargetMode="External"/><Relationship Id="rId160" Type="http://schemas.openxmlformats.org/officeDocument/2006/relationships/hyperlink" Target="https://www.worldometers.info/world-population/djibouti-population/" TargetMode="External"/><Relationship Id="rId181" Type="http://schemas.openxmlformats.org/officeDocument/2006/relationships/hyperlink" Target="https://www.worldometers.info/world-population/mayotte-population/" TargetMode="External"/><Relationship Id="rId216" Type="http://schemas.openxmlformats.org/officeDocument/2006/relationships/hyperlink" Target="https://www.worldometers.info/world-population/monaco-population/" TargetMode="External"/><Relationship Id="rId22" Type="http://schemas.openxmlformats.org/officeDocument/2006/relationships/hyperlink" Target="https://www.worldometers.info/world-population/uk-population/" TargetMode="External"/><Relationship Id="rId43" Type="http://schemas.openxmlformats.org/officeDocument/2006/relationships/hyperlink" Target="https://www.worldometers.info/world-population/uzbekistan-population/" TargetMode="External"/><Relationship Id="rId64" Type="http://schemas.openxmlformats.org/officeDocument/2006/relationships/hyperlink" Target="https://www.worldometers.info/world-population/chad-population/" TargetMode="External"/><Relationship Id="rId118" Type="http://schemas.openxmlformats.org/officeDocument/2006/relationships/hyperlink" Target="https://www.worldometers.info/world-population/finland-population/" TargetMode="External"/><Relationship Id="rId139" Type="http://schemas.openxmlformats.org/officeDocument/2006/relationships/hyperlink" Target="https://www.worldometers.info/world-population/moldova-population/" TargetMode="External"/><Relationship Id="rId85" Type="http://schemas.openxmlformats.org/officeDocument/2006/relationships/hyperlink" Target="https://www.worldometers.info/world-population/dominican-republic-population/" TargetMode="External"/><Relationship Id="rId150" Type="http://schemas.openxmlformats.org/officeDocument/2006/relationships/hyperlink" Target="https://www.worldometers.info/world-population/equatorial-guinea-population/" TargetMode="External"/><Relationship Id="rId171" Type="http://schemas.openxmlformats.org/officeDocument/2006/relationships/hyperlink" Target="https://www.worldometers.info/world-population/western-sahara-population/" TargetMode="External"/><Relationship Id="rId192" Type="http://schemas.openxmlformats.org/officeDocument/2006/relationships/hyperlink" Target="https://www.worldometers.info/world-population/kiribati-population/" TargetMode="External"/><Relationship Id="rId206" Type="http://schemas.openxmlformats.org/officeDocument/2006/relationships/hyperlink" Target="https://www.worldometers.info/world-population/faeroe-islands-population/" TargetMode="External"/><Relationship Id="rId227" Type="http://schemas.openxmlformats.org/officeDocument/2006/relationships/hyperlink" Target="https://www.worldometers.info/world-population/saint-pierre-and-miquelon-population/" TargetMode="External"/><Relationship Id="rId12" Type="http://schemas.openxmlformats.org/officeDocument/2006/relationships/hyperlink" Target="https://www.worldometers.info/world-population/japan-population/" TargetMode="External"/><Relationship Id="rId33" Type="http://schemas.openxmlformats.org/officeDocument/2006/relationships/hyperlink" Target="https://www.worldometers.info/world-population/algeria-population/" TargetMode="External"/><Relationship Id="rId108" Type="http://schemas.openxmlformats.org/officeDocument/2006/relationships/hyperlink" Target="https://www.worldometers.info/world-population/paraguay-population/" TargetMode="External"/><Relationship Id="rId129" Type="http://schemas.openxmlformats.org/officeDocument/2006/relationships/hyperlink" Target="https://www.worldometers.info/world-population/panama-population/" TargetMode="External"/><Relationship Id="rId54" Type="http://schemas.openxmlformats.org/officeDocument/2006/relationships/hyperlink" Target="https://www.worldometers.info/world-population/niger-population/" TargetMode="External"/><Relationship Id="rId75" Type="http://schemas.openxmlformats.org/officeDocument/2006/relationships/hyperlink" Target="https://www.worldometers.info/world-population/guinea-population/" TargetMode="External"/><Relationship Id="rId96" Type="http://schemas.openxmlformats.org/officeDocument/2006/relationships/hyperlink" Target="https://www.worldometers.info/world-population/togo-population/" TargetMode="External"/><Relationship Id="rId140" Type="http://schemas.openxmlformats.org/officeDocument/2006/relationships/hyperlink" Target="https://www.worldometers.info/world-population/armenia-population/" TargetMode="External"/><Relationship Id="rId161" Type="http://schemas.openxmlformats.org/officeDocument/2006/relationships/hyperlink" Target="https://www.worldometers.info/world-population/fiji-population/" TargetMode="External"/><Relationship Id="rId182" Type="http://schemas.openxmlformats.org/officeDocument/2006/relationships/hyperlink" Target="https://www.worldometers.info/world-population/vanuatu-population/" TargetMode="External"/><Relationship Id="rId217" Type="http://schemas.openxmlformats.org/officeDocument/2006/relationships/hyperlink" Target="https://www.worldometers.info/world-population/marshall-islands-population/" TargetMode="External"/><Relationship Id="rId6" Type="http://schemas.openxmlformats.org/officeDocument/2006/relationships/hyperlink" Target="https://www.worldometers.info/world-population/nigeria-population/" TargetMode="External"/><Relationship Id="rId23" Type="http://schemas.openxmlformats.org/officeDocument/2006/relationships/hyperlink" Target="https://www.worldometers.info/world-population/france-population/" TargetMode="External"/><Relationship Id="rId119" Type="http://schemas.openxmlformats.org/officeDocument/2006/relationships/hyperlink" Target="https://www.worldometers.info/world-population/norway-population/" TargetMode="External"/><Relationship Id="rId44" Type="http://schemas.openxmlformats.org/officeDocument/2006/relationships/hyperlink" Target="https://www.worldometers.info/world-population/malaysia-population/" TargetMode="External"/><Relationship Id="rId65" Type="http://schemas.openxmlformats.org/officeDocument/2006/relationships/hyperlink" Target="https://www.worldometers.info/world-population/kazakhstan-population/" TargetMode="External"/><Relationship Id="rId86" Type="http://schemas.openxmlformats.org/officeDocument/2006/relationships/hyperlink" Target="https://www.worldometers.info/world-population/united-arab-emirates-population/" TargetMode="External"/><Relationship Id="rId130" Type="http://schemas.openxmlformats.org/officeDocument/2006/relationships/hyperlink" Target="https://www.worldometers.info/world-population/croatia-population/" TargetMode="External"/><Relationship Id="rId151" Type="http://schemas.openxmlformats.org/officeDocument/2006/relationships/hyperlink" Target="https://www.worldometers.info/world-population/latvia-population/" TargetMode="External"/><Relationship Id="rId172" Type="http://schemas.openxmlformats.org/officeDocument/2006/relationships/hyperlink" Target="https://www.worldometers.info/world-population/malta-population/" TargetMode="External"/><Relationship Id="rId193" Type="http://schemas.openxmlformats.org/officeDocument/2006/relationships/hyperlink" Target="https://www.worldometers.info/world-population/seychelles-population/" TargetMode="External"/><Relationship Id="rId207" Type="http://schemas.openxmlformats.org/officeDocument/2006/relationships/hyperlink" Target="https://www.worldometers.info/world-population/greenland-population/" TargetMode="External"/><Relationship Id="rId228" Type="http://schemas.openxmlformats.org/officeDocument/2006/relationships/hyperlink" Target="https://www.worldometers.info/world-population/saint-helena-population/" TargetMode="External"/><Relationship Id="rId13" Type="http://schemas.openxmlformats.org/officeDocument/2006/relationships/hyperlink" Target="https://www.worldometers.info/world-population/egypt-population/" TargetMode="External"/><Relationship Id="rId109" Type="http://schemas.openxmlformats.org/officeDocument/2006/relationships/hyperlink" Target="https://www.worldometers.info/world-population/nicaragua-population/" TargetMode="External"/><Relationship Id="rId34" Type="http://schemas.openxmlformats.org/officeDocument/2006/relationships/hyperlink" Target="https://www.worldometers.info/world-population/iraq-population/" TargetMode="External"/><Relationship Id="rId55" Type="http://schemas.openxmlformats.org/officeDocument/2006/relationships/hyperlink" Target="https://www.worldometers.info/world-population/australia-population/" TargetMode="External"/><Relationship Id="rId76" Type="http://schemas.openxmlformats.org/officeDocument/2006/relationships/hyperlink" Target="https://www.worldometers.info/world-population/benin-population/" TargetMode="External"/><Relationship Id="rId97" Type="http://schemas.openxmlformats.org/officeDocument/2006/relationships/hyperlink" Target="https://www.worldometers.info/world-population/hungary-population/" TargetMode="External"/><Relationship Id="rId120" Type="http://schemas.openxmlformats.org/officeDocument/2006/relationships/hyperlink" Target="https://www.worldometers.info/world-population/state-of-palestine-population/" TargetMode="External"/><Relationship Id="rId141" Type="http://schemas.openxmlformats.org/officeDocument/2006/relationships/hyperlink" Target="https://www.worldometers.info/world-population/jamaica-population/" TargetMode="External"/><Relationship Id="rId7" Type="http://schemas.openxmlformats.org/officeDocument/2006/relationships/hyperlink" Target="https://www.worldometers.info/world-population/brazil-population/" TargetMode="External"/><Relationship Id="rId162" Type="http://schemas.openxmlformats.org/officeDocument/2006/relationships/hyperlink" Target="https://www.worldometers.info/world-population/comoros-population/" TargetMode="External"/><Relationship Id="rId183" Type="http://schemas.openxmlformats.org/officeDocument/2006/relationships/hyperlink" Target="https://www.worldometers.info/world-population/french-guiana-population/" TargetMode="External"/><Relationship Id="rId218" Type="http://schemas.openxmlformats.org/officeDocument/2006/relationships/hyperlink" Target="https://www.worldometers.info/world-population/san-marino-population/" TargetMode="External"/><Relationship Id="rId24" Type="http://schemas.openxmlformats.org/officeDocument/2006/relationships/hyperlink" Target="https://www.worldometers.info/world-population/south-africa-population/" TargetMode="External"/><Relationship Id="rId45" Type="http://schemas.openxmlformats.org/officeDocument/2006/relationships/hyperlink" Target="https://www.worldometers.info/world-population/mozambique-population/" TargetMode="External"/><Relationship Id="rId66" Type="http://schemas.openxmlformats.org/officeDocument/2006/relationships/hyperlink" Target="https://www.worldometers.info/world-population/chile-population/" TargetMode="External"/><Relationship Id="rId87" Type="http://schemas.openxmlformats.org/officeDocument/2006/relationships/hyperlink" Target="https://www.worldometers.info/world-population/honduras-population/" TargetMode="External"/><Relationship Id="rId110" Type="http://schemas.openxmlformats.org/officeDocument/2006/relationships/hyperlink" Target="https://www.worldometers.info/world-population/bulgaria-population/" TargetMode="External"/><Relationship Id="rId131" Type="http://schemas.openxmlformats.org/officeDocument/2006/relationships/hyperlink" Target="https://www.worldometers.info/world-population/georgia-population/" TargetMode="External"/><Relationship Id="rId152" Type="http://schemas.openxmlformats.org/officeDocument/2006/relationships/hyperlink" Target="https://www.worldometers.info/world-population/north-macedonia-population/" TargetMode="External"/><Relationship Id="rId173" Type="http://schemas.openxmlformats.org/officeDocument/2006/relationships/hyperlink" Target="https://www.worldometers.info/world-population/maldives-population/" TargetMode="External"/><Relationship Id="rId194" Type="http://schemas.openxmlformats.org/officeDocument/2006/relationships/hyperlink" Target="https://www.worldometers.info/world-population/grenada-population/" TargetMode="External"/><Relationship Id="rId208" Type="http://schemas.openxmlformats.org/officeDocument/2006/relationships/hyperlink" Target="https://www.worldometers.info/world-population/saint-kitts-and-nevis-population/" TargetMode="External"/><Relationship Id="rId229" Type="http://schemas.openxmlformats.org/officeDocument/2006/relationships/hyperlink" Target="https://www.worldometers.info/world-population/montserrat-population/" TargetMode="External"/><Relationship Id="rId14" Type="http://schemas.openxmlformats.org/officeDocument/2006/relationships/hyperlink" Target="https://www.worldometers.info/world-population/philippines-population/" TargetMode="External"/><Relationship Id="rId35" Type="http://schemas.openxmlformats.org/officeDocument/2006/relationships/hyperlink" Target="https://www.worldometers.info/world-population/argentina-population/" TargetMode="External"/><Relationship Id="rId56" Type="http://schemas.openxmlformats.org/officeDocument/2006/relationships/hyperlink" Target="https://www.worldometers.info/world-population/north-korea-population/" TargetMode="External"/><Relationship Id="rId77" Type="http://schemas.openxmlformats.org/officeDocument/2006/relationships/hyperlink" Target="https://www.worldometers.info/world-population/rwanda-population/" TargetMode="External"/><Relationship Id="rId100" Type="http://schemas.openxmlformats.org/officeDocument/2006/relationships/hyperlink" Target="https://www.worldometers.info/world-population/belarus-population/" TargetMode="External"/><Relationship Id="rId8" Type="http://schemas.openxmlformats.org/officeDocument/2006/relationships/hyperlink" Target="https://www.worldometers.info/world-population/bangladesh-population/" TargetMode="External"/><Relationship Id="rId98" Type="http://schemas.openxmlformats.org/officeDocument/2006/relationships/hyperlink" Target="https://www.worldometers.info/world-population/israel-population/" TargetMode="External"/><Relationship Id="rId121" Type="http://schemas.openxmlformats.org/officeDocument/2006/relationships/hyperlink" Target="https://www.worldometers.info/world-population/central-african-republic-population/" TargetMode="External"/><Relationship Id="rId142" Type="http://schemas.openxmlformats.org/officeDocument/2006/relationships/hyperlink" Target="https://www.worldometers.info/world-population/lithuania-population/" TargetMode="External"/><Relationship Id="rId163" Type="http://schemas.openxmlformats.org/officeDocument/2006/relationships/hyperlink" Target="https://www.worldometers.info/world-population/reunion-population/" TargetMode="External"/><Relationship Id="rId184" Type="http://schemas.openxmlformats.org/officeDocument/2006/relationships/hyperlink" Target="https://www.worldometers.info/world-population/new-caledonia-population/" TargetMode="External"/><Relationship Id="rId219" Type="http://schemas.openxmlformats.org/officeDocument/2006/relationships/hyperlink" Target="https://www.worldometers.info/world-population/caribbean-netherlands-population/" TargetMode="External"/><Relationship Id="rId230" Type="http://schemas.openxmlformats.org/officeDocument/2006/relationships/hyperlink" Target="https://www.worldometers.info/world-population/falkland-islands-malvinas-population/" TargetMode="External"/><Relationship Id="rId25" Type="http://schemas.openxmlformats.org/officeDocument/2006/relationships/hyperlink" Target="https://www.worldometers.info/world-population/italy-population/" TargetMode="External"/><Relationship Id="rId46" Type="http://schemas.openxmlformats.org/officeDocument/2006/relationships/hyperlink" Target="https://www.worldometers.info/world-population/ghana-population/" TargetMode="External"/><Relationship Id="rId67" Type="http://schemas.openxmlformats.org/officeDocument/2006/relationships/hyperlink" Target="https://www.worldometers.info/world-population/somalia-population/" TargetMode="External"/><Relationship Id="rId20" Type="http://schemas.openxmlformats.org/officeDocument/2006/relationships/hyperlink" Target="https://www.worldometers.info/world-population/thailand-population/" TargetMode="External"/><Relationship Id="rId41" Type="http://schemas.openxmlformats.org/officeDocument/2006/relationships/hyperlink" Target="https://www.worldometers.info/world-population/morocco-population/" TargetMode="External"/><Relationship Id="rId62" Type="http://schemas.openxmlformats.org/officeDocument/2006/relationships/hyperlink" Target="https://www.worldometers.info/world-population/malawi-population/" TargetMode="External"/><Relationship Id="rId83" Type="http://schemas.openxmlformats.org/officeDocument/2006/relationships/hyperlink" Target="https://www.worldometers.info/world-population/belgium-population/" TargetMode="External"/><Relationship Id="rId88" Type="http://schemas.openxmlformats.org/officeDocument/2006/relationships/hyperlink" Target="https://www.worldometers.info/world-population/cuba-population/" TargetMode="External"/><Relationship Id="rId111" Type="http://schemas.openxmlformats.org/officeDocument/2006/relationships/hyperlink" Target="https://www.worldometers.info/world-population/serbia-population/" TargetMode="External"/><Relationship Id="rId132" Type="http://schemas.openxmlformats.org/officeDocument/2006/relationships/hyperlink" Target="https://www.worldometers.info/world-population/eritrea-population/" TargetMode="External"/><Relationship Id="rId153" Type="http://schemas.openxmlformats.org/officeDocument/2006/relationships/hyperlink" Target="https://www.worldometers.info/world-population/bahrain-population/" TargetMode="External"/><Relationship Id="rId174" Type="http://schemas.openxmlformats.org/officeDocument/2006/relationships/hyperlink" Target="https://www.worldometers.info/world-population/cabo-verde-population/" TargetMode="External"/><Relationship Id="rId179" Type="http://schemas.openxmlformats.org/officeDocument/2006/relationships/hyperlink" Target="https://www.worldometers.info/world-population/guadeloupe-population/" TargetMode="External"/><Relationship Id="rId195" Type="http://schemas.openxmlformats.org/officeDocument/2006/relationships/hyperlink" Target="https://www.worldometers.info/world-population/micronesia-population/" TargetMode="External"/><Relationship Id="rId209" Type="http://schemas.openxmlformats.org/officeDocument/2006/relationships/hyperlink" Target="https://www.worldometers.info/world-population/turks-and-caicos-islands-population/" TargetMode="External"/><Relationship Id="rId190" Type="http://schemas.openxmlformats.org/officeDocument/2006/relationships/hyperlink" Target="https://www.worldometers.info/world-population/saint-lucia-population/" TargetMode="External"/><Relationship Id="rId204" Type="http://schemas.openxmlformats.org/officeDocument/2006/relationships/hyperlink" Target="https://www.worldometers.info/world-population/dominica-population/" TargetMode="External"/><Relationship Id="rId220" Type="http://schemas.openxmlformats.org/officeDocument/2006/relationships/hyperlink" Target="https://www.worldometers.info/world-population/palau-population/" TargetMode="External"/><Relationship Id="rId225" Type="http://schemas.openxmlformats.org/officeDocument/2006/relationships/hyperlink" Target="https://www.worldometers.info/world-population/wallis-and-futuna-islands-population/" TargetMode="External"/><Relationship Id="rId15" Type="http://schemas.openxmlformats.org/officeDocument/2006/relationships/hyperlink" Target="https://www.worldometers.info/world-population/democratic-republic-of-the-congo-population/" TargetMode="External"/><Relationship Id="rId36" Type="http://schemas.openxmlformats.org/officeDocument/2006/relationships/hyperlink" Target="https://www.worldometers.info/world-population/afghanistan-population/" TargetMode="External"/><Relationship Id="rId57" Type="http://schemas.openxmlformats.org/officeDocument/2006/relationships/hyperlink" Target="https://www.worldometers.info/world-population/syria-population/" TargetMode="External"/><Relationship Id="rId106" Type="http://schemas.openxmlformats.org/officeDocument/2006/relationships/hyperlink" Target="https://www.worldometers.info/world-population/china-hong-kong-sar-population/" TargetMode="External"/><Relationship Id="rId127" Type="http://schemas.openxmlformats.org/officeDocument/2006/relationships/hyperlink" Target="https://www.worldometers.info/world-population/costa-rica-population/" TargetMode="External"/><Relationship Id="rId10" Type="http://schemas.openxmlformats.org/officeDocument/2006/relationships/hyperlink" Target="https://www.worldometers.info/world-population/ethiopia-population/" TargetMode="External"/><Relationship Id="rId31" Type="http://schemas.openxmlformats.org/officeDocument/2006/relationships/hyperlink" Target="https://www.worldometers.info/world-population/uganda-population/" TargetMode="External"/><Relationship Id="rId52" Type="http://schemas.openxmlformats.org/officeDocument/2006/relationships/hyperlink" Target="https://www.worldometers.info/world-population/nepal-population/" TargetMode="External"/><Relationship Id="rId73" Type="http://schemas.openxmlformats.org/officeDocument/2006/relationships/hyperlink" Target="https://www.worldometers.info/world-population/cambodia-population/" TargetMode="External"/><Relationship Id="rId78" Type="http://schemas.openxmlformats.org/officeDocument/2006/relationships/hyperlink" Target="https://www.worldometers.info/world-population/burundi-population/" TargetMode="External"/><Relationship Id="rId94" Type="http://schemas.openxmlformats.org/officeDocument/2006/relationships/hyperlink" Target="https://www.worldometers.info/world-population/azerbaijan-population/" TargetMode="External"/><Relationship Id="rId99" Type="http://schemas.openxmlformats.org/officeDocument/2006/relationships/hyperlink" Target="https://www.worldometers.info/world-population/austria-population/" TargetMode="External"/><Relationship Id="rId101" Type="http://schemas.openxmlformats.org/officeDocument/2006/relationships/hyperlink" Target="https://www.worldometers.info/world-population/switzerland-population/" TargetMode="External"/><Relationship Id="rId122" Type="http://schemas.openxmlformats.org/officeDocument/2006/relationships/hyperlink" Target="https://www.worldometers.info/world-population/oman-population/" TargetMode="External"/><Relationship Id="rId143" Type="http://schemas.openxmlformats.org/officeDocument/2006/relationships/hyperlink" Target="https://www.worldometers.info/world-population/gambia-population/" TargetMode="External"/><Relationship Id="rId148" Type="http://schemas.openxmlformats.org/officeDocument/2006/relationships/hyperlink" Target="https://www.worldometers.info/world-population/guinea-bissau-population/" TargetMode="External"/><Relationship Id="rId164" Type="http://schemas.openxmlformats.org/officeDocument/2006/relationships/hyperlink" Target="https://www.worldometers.info/world-population/solomon-islands-population/" TargetMode="External"/><Relationship Id="rId169" Type="http://schemas.openxmlformats.org/officeDocument/2006/relationships/hyperlink" Target="https://www.worldometers.info/world-population/suriname-population/" TargetMode="External"/><Relationship Id="rId185" Type="http://schemas.openxmlformats.org/officeDocument/2006/relationships/hyperlink" Target="https://www.worldometers.info/world-population/barbados-population/" TargetMode="External"/><Relationship Id="rId4" Type="http://schemas.openxmlformats.org/officeDocument/2006/relationships/hyperlink" Target="https://www.worldometers.info/world-population/indonesia-population/" TargetMode="External"/><Relationship Id="rId9" Type="http://schemas.openxmlformats.org/officeDocument/2006/relationships/hyperlink" Target="https://www.worldometers.info/world-population/russia-population/" TargetMode="External"/><Relationship Id="rId180" Type="http://schemas.openxmlformats.org/officeDocument/2006/relationships/hyperlink" Target="https://www.worldometers.info/world-population/martinique-population/" TargetMode="External"/><Relationship Id="rId210" Type="http://schemas.openxmlformats.org/officeDocument/2006/relationships/hyperlink" Target="https://www.worldometers.info/world-population/american-samoa-population/" TargetMode="External"/><Relationship Id="rId215" Type="http://schemas.openxmlformats.org/officeDocument/2006/relationships/hyperlink" Target="https://www.worldometers.info/world-population/british-virgin-islands-population/" TargetMode="External"/><Relationship Id="rId26" Type="http://schemas.openxmlformats.org/officeDocument/2006/relationships/hyperlink" Target="https://www.worldometers.info/world-population/kenya-population/" TargetMode="External"/><Relationship Id="rId231" Type="http://schemas.openxmlformats.org/officeDocument/2006/relationships/hyperlink" Target="https://www.worldometers.info/world-population/tokelau-population/" TargetMode="External"/><Relationship Id="rId47" Type="http://schemas.openxmlformats.org/officeDocument/2006/relationships/hyperlink" Target="https://www.worldometers.info/world-population/peru-population/" TargetMode="External"/><Relationship Id="rId68" Type="http://schemas.openxmlformats.org/officeDocument/2006/relationships/hyperlink" Target="https://www.worldometers.info/world-population/senegal-population/" TargetMode="External"/><Relationship Id="rId89" Type="http://schemas.openxmlformats.org/officeDocument/2006/relationships/hyperlink" Target="https://www.worldometers.info/world-population/tajikistan-population/" TargetMode="External"/><Relationship Id="rId112" Type="http://schemas.openxmlformats.org/officeDocument/2006/relationships/hyperlink" Target="https://www.worldometers.info/world-population/congo-population/" TargetMode="External"/><Relationship Id="rId133" Type="http://schemas.openxmlformats.org/officeDocument/2006/relationships/hyperlink" Target="https://www.worldometers.info/world-population/mongolia-population/" TargetMode="External"/><Relationship Id="rId154" Type="http://schemas.openxmlformats.org/officeDocument/2006/relationships/hyperlink" Target="https://www.worldometers.info/world-population/trinidad-and-tobago-population/" TargetMode="External"/><Relationship Id="rId175" Type="http://schemas.openxmlformats.org/officeDocument/2006/relationships/hyperlink" Target="https://www.worldometers.info/world-population/brunei-darussalam-population/" TargetMode="External"/><Relationship Id="rId196" Type="http://schemas.openxmlformats.org/officeDocument/2006/relationships/hyperlink" Target="https://www.worldometers.info/world-population/aruba-population/" TargetMode="External"/><Relationship Id="rId200" Type="http://schemas.openxmlformats.org/officeDocument/2006/relationships/hyperlink" Target="https://www.worldometers.info/world-population/united-states-virgin-islands-population/" TargetMode="External"/><Relationship Id="rId16" Type="http://schemas.openxmlformats.org/officeDocument/2006/relationships/hyperlink" Target="https://www.worldometers.info/world-population/vietnam-population/" TargetMode="External"/><Relationship Id="rId221" Type="http://schemas.openxmlformats.org/officeDocument/2006/relationships/hyperlink" Target="https://www.worldometers.info/world-population/anguilla-population/" TargetMode="External"/><Relationship Id="rId37" Type="http://schemas.openxmlformats.org/officeDocument/2006/relationships/hyperlink" Target="https://www.worldometers.info/world-population/yemen-population/" TargetMode="External"/><Relationship Id="rId58" Type="http://schemas.openxmlformats.org/officeDocument/2006/relationships/hyperlink" Target="https://www.worldometers.info/world-population/mali-population/" TargetMode="External"/><Relationship Id="rId79" Type="http://schemas.openxmlformats.org/officeDocument/2006/relationships/hyperlink" Target="https://www.worldometers.info/world-population/bolivia-population/" TargetMode="External"/><Relationship Id="rId102" Type="http://schemas.openxmlformats.org/officeDocument/2006/relationships/hyperlink" Target="https://www.worldometers.info/world-population/sierra-leone-population/" TargetMode="External"/><Relationship Id="rId123" Type="http://schemas.openxmlformats.org/officeDocument/2006/relationships/hyperlink" Target="https://www.worldometers.info/world-population/slovakia-population/" TargetMode="External"/><Relationship Id="rId144" Type="http://schemas.openxmlformats.org/officeDocument/2006/relationships/hyperlink" Target="https://www.worldometers.info/world-population/albania-population/" TargetMode="External"/><Relationship Id="rId90" Type="http://schemas.openxmlformats.org/officeDocument/2006/relationships/hyperlink" Target="https://www.worldometers.info/world-population/papua-new-guinea-population/" TargetMode="External"/><Relationship Id="rId165" Type="http://schemas.openxmlformats.org/officeDocument/2006/relationships/hyperlink" Target="https://www.worldometers.info/world-population/guyana-population/" TargetMode="External"/><Relationship Id="rId186" Type="http://schemas.openxmlformats.org/officeDocument/2006/relationships/hyperlink" Target="https://www.worldometers.info/world-population/french-polynesia-population/" TargetMode="External"/><Relationship Id="rId211" Type="http://schemas.openxmlformats.org/officeDocument/2006/relationships/hyperlink" Target="https://www.worldometers.info/world-population/sint-maarten-population/" TargetMode="External"/><Relationship Id="rId232" Type="http://schemas.openxmlformats.org/officeDocument/2006/relationships/hyperlink" Target="https://www.worldometers.info/world-population/niue-population/" TargetMode="External"/><Relationship Id="rId27" Type="http://schemas.openxmlformats.org/officeDocument/2006/relationships/hyperlink" Target="https://www.worldometers.info/world-population/myanmar-population/" TargetMode="External"/><Relationship Id="rId48" Type="http://schemas.openxmlformats.org/officeDocument/2006/relationships/hyperlink" Target="https://www.worldometers.info/world-population/saudi-arabia-population/" TargetMode="External"/><Relationship Id="rId69" Type="http://schemas.openxmlformats.org/officeDocument/2006/relationships/hyperlink" Target="https://www.worldometers.info/world-population/romania-population/" TargetMode="External"/><Relationship Id="rId113" Type="http://schemas.openxmlformats.org/officeDocument/2006/relationships/hyperlink" Target="https://www.worldometers.info/world-population/el-salvador-population/" TargetMode="External"/><Relationship Id="rId134" Type="http://schemas.openxmlformats.org/officeDocument/2006/relationships/hyperlink" Target="https://www.worldometers.info/world-population/uruguay-population/" TargetMode="External"/><Relationship Id="rId80" Type="http://schemas.openxmlformats.org/officeDocument/2006/relationships/hyperlink" Target="https://www.worldometers.info/world-population/tunisia-population/" TargetMode="External"/><Relationship Id="rId155" Type="http://schemas.openxmlformats.org/officeDocument/2006/relationships/hyperlink" Target="https://www.worldometers.info/world-population/timor-leste-population/" TargetMode="External"/><Relationship Id="rId176" Type="http://schemas.openxmlformats.org/officeDocument/2006/relationships/hyperlink" Target="https://www.worldometers.info/world-population/belize-population/" TargetMode="External"/><Relationship Id="rId197" Type="http://schemas.openxmlformats.org/officeDocument/2006/relationships/hyperlink" Target="https://www.worldometers.info/world-population/tonga-population/" TargetMode="External"/><Relationship Id="rId201" Type="http://schemas.openxmlformats.org/officeDocument/2006/relationships/hyperlink" Target="https://www.worldometers.info/world-population/isle-of-man-population/" TargetMode="External"/><Relationship Id="rId222" Type="http://schemas.openxmlformats.org/officeDocument/2006/relationships/hyperlink" Target="https://www.worldometers.info/world-population/cook-islands-population/" TargetMode="External"/><Relationship Id="rId17" Type="http://schemas.openxmlformats.org/officeDocument/2006/relationships/hyperlink" Target="https://www.worldometers.info/world-population/iran-population/" TargetMode="External"/><Relationship Id="rId38" Type="http://schemas.openxmlformats.org/officeDocument/2006/relationships/hyperlink" Target="https://www.worldometers.info/world-population/canada-population/" TargetMode="External"/><Relationship Id="rId59" Type="http://schemas.openxmlformats.org/officeDocument/2006/relationships/hyperlink" Target="https://www.worldometers.info/world-population/burkina-faso-population/" TargetMode="External"/><Relationship Id="rId103" Type="http://schemas.openxmlformats.org/officeDocument/2006/relationships/hyperlink" Target="https://www.worldometers.info/world-population/laos-population/" TargetMode="External"/><Relationship Id="rId124" Type="http://schemas.openxmlformats.org/officeDocument/2006/relationships/hyperlink" Target="https://www.worldometers.info/world-population/mauritania-population/" TargetMode="External"/><Relationship Id="rId70" Type="http://schemas.openxmlformats.org/officeDocument/2006/relationships/hyperlink" Target="https://www.worldometers.info/world-population/guatemala-population/" TargetMode="External"/><Relationship Id="rId91" Type="http://schemas.openxmlformats.org/officeDocument/2006/relationships/hyperlink" Target="https://www.worldometers.info/world-population/sweden-population/" TargetMode="External"/><Relationship Id="rId145" Type="http://schemas.openxmlformats.org/officeDocument/2006/relationships/hyperlink" Target="https://www.worldometers.info/world-population/gabon-population/" TargetMode="External"/><Relationship Id="rId166" Type="http://schemas.openxmlformats.org/officeDocument/2006/relationships/hyperlink" Target="https://www.worldometers.info/world-population/bhutan-population/" TargetMode="External"/><Relationship Id="rId187" Type="http://schemas.openxmlformats.org/officeDocument/2006/relationships/hyperlink" Target="https://www.worldometers.info/world-population/sao-tome-and-principe-population/" TargetMode="External"/><Relationship Id="rId1" Type="http://schemas.openxmlformats.org/officeDocument/2006/relationships/hyperlink" Target="https://www.worldometers.info/world-population/india-population/" TargetMode="External"/><Relationship Id="rId212" Type="http://schemas.openxmlformats.org/officeDocument/2006/relationships/hyperlink" Target="https://www.worldometers.info/world-population/northern-mariana-islands-population/" TargetMode="External"/><Relationship Id="rId233" Type="http://schemas.openxmlformats.org/officeDocument/2006/relationships/hyperlink" Target="https://www.worldometers.info/world-population/holy-see-population/" TargetMode="External"/><Relationship Id="rId28" Type="http://schemas.openxmlformats.org/officeDocument/2006/relationships/hyperlink" Target="https://www.worldometers.info/world-population/colombia-population/" TargetMode="External"/><Relationship Id="rId49" Type="http://schemas.openxmlformats.org/officeDocument/2006/relationships/hyperlink" Target="https://www.worldometers.info/world-population/madagascar-population/" TargetMode="External"/><Relationship Id="rId114" Type="http://schemas.openxmlformats.org/officeDocument/2006/relationships/hyperlink" Target="https://www.worldometers.info/world-population/denmark-population/" TargetMode="External"/><Relationship Id="rId60" Type="http://schemas.openxmlformats.org/officeDocument/2006/relationships/hyperlink" Target="https://www.worldometers.info/world-population/sri-lanka-population/" TargetMode="External"/><Relationship Id="rId81" Type="http://schemas.openxmlformats.org/officeDocument/2006/relationships/hyperlink" Target="https://www.worldometers.info/world-population/south-sudan-population/" TargetMode="External"/><Relationship Id="rId135" Type="http://schemas.openxmlformats.org/officeDocument/2006/relationships/hyperlink" Target="https://www.worldometers.info/world-population/puerto-rico-population/" TargetMode="External"/><Relationship Id="rId156" Type="http://schemas.openxmlformats.org/officeDocument/2006/relationships/hyperlink" Target="https://www.worldometers.info/world-population/cyprus-population/" TargetMode="External"/><Relationship Id="rId177" Type="http://schemas.openxmlformats.org/officeDocument/2006/relationships/hyperlink" Target="https://www.worldometers.info/world-population/bahamas-population/" TargetMode="External"/><Relationship Id="rId198" Type="http://schemas.openxmlformats.org/officeDocument/2006/relationships/hyperlink" Target="https://www.worldometers.info/world-population/saint-vincent-and-the-grenadines-population/" TargetMode="External"/><Relationship Id="rId202" Type="http://schemas.openxmlformats.org/officeDocument/2006/relationships/hyperlink" Target="https://www.worldometers.info/world-population/andorra-population/" TargetMode="External"/><Relationship Id="rId223" Type="http://schemas.openxmlformats.org/officeDocument/2006/relationships/hyperlink" Target="https://www.worldometers.info/world-population/nauru-population/" TargetMode="External"/><Relationship Id="rId18" Type="http://schemas.openxmlformats.org/officeDocument/2006/relationships/hyperlink" Target="https://www.worldometers.info/world-population/turkey-population/" TargetMode="External"/><Relationship Id="rId39" Type="http://schemas.openxmlformats.org/officeDocument/2006/relationships/hyperlink" Target="https://www.worldometers.info/world-population/angola-population/" TargetMode="External"/><Relationship Id="rId50" Type="http://schemas.openxmlformats.org/officeDocument/2006/relationships/hyperlink" Target="https://www.worldometers.info/world-population/cote-d-ivoire-population/" TargetMode="External"/><Relationship Id="rId104" Type="http://schemas.openxmlformats.org/officeDocument/2006/relationships/hyperlink" Target="https://www.worldometers.info/world-population/turkmenistan-population/" TargetMode="External"/><Relationship Id="rId125" Type="http://schemas.openxmlformats.org/officeDocument/2006/relationships/hyperlink" Target="https://www.worldometers.info/world-population/ireland-population/" TargetMode="External"/><Relationship Id="rId146" Type="http://schemas.openxmlformats.org/officeDocument/2006/relationships/hyperlink" Target="https://www.worldometers.info/world-population/botswana-population/" TargetMode="External"/><Relationship Id="rId167" Type="http://schemas.openxmlformats.org/officeDocument/2006/relationships/hyperlink" Target="https://www.worldometers.info/world-population/china-macao-sar-population/" TargetMode="External"/><Relationship Id="rId188" Type="http://schemas.openxmlformats.org/officeDocument/2006/relationships/hyperlink" Target="https://www.worldometers.info/world-population/samoa-population/" TargetMode="External"/><Relationship Id="rId71" Type="http://schemas.openxmlformats.org/officeDocument/2006/relationships/hyperlink" Target="https://www.worldometers.info/world-population/netherlands-population/" TargetMode="External"/><Relationship Id="rId92" Type="http://schemas.openxmlformats.org/officeDocument/2006/relationships/hyperlink" Target="https://www.worldometers.info/world-population/czechia-population/" TargetMode="External"/><Relationship Id="rId213" Type="http://schemas.openxmlformats.org/officeDocument/2006/relationships/hyperlink" Target="https://www.worldometers.info/world-population/liechtenstein-population/" TargetMode="External"/><Relationship Id="rId234" Type="http://schemas.openxmlformats.org/officeDocument/2006/relationships/vmlDrawing" Target="../drawings/vmlDrawing2.vml"/><Relationship Id="rId2" Type="http://schemas.openxmlformats.org/officeDocument/2006/relationships/hyperlink" Target="https://www.worldometers.info/world-population/china-population/" TargetMode="External"/><Relationship Id="rId29" Type="http://schemas.openxmlformats.org/officeDocument/2006/relationships/hyperlink" Target="https://www.worldometers.info/world-population/south-korea-population/" TargetMode="External"/><Relationship Id="rId40" Type="http://schemas.openxmlformats.org/officeDocument/2006/relationships/hyperlink" Target="https://www.worldometers.info/world-population/ukraine-population/" TargetMode="External"/><Relationship Id="rId115" Type="http://schemas.openxmlformats.org/officeDocument/2006/relationships/hyperlink" Target="https://www.worldometers.info/world-population/singapore-population/" TargetMode="External"/><Relationship Id="rId136" Type="http://schemas.openxmlformats.org/officeDocument/2006/relationships/hyperlink" Target="https://www.worldometers.info/world-population/bosnia-and-herzegovina-population/" TargetMode="External"/><Relationship Id="rId157" Type="http://schemas.openxmlformats.org/officeDocument/2006/relationships/hyperlink" Target="https://www.worldometers.info/world-population/estonia-population/" TargetMode="External"/><Relationship Id="rId178" Type="http://schemas.openxmlformats.org/officeDocument/2006/relationships/hyperlink" Target="https://www.worldometers.info/world-population/iceland-population/" TargetMode="External"/><Relationship Id="rId61" Type="http://schemas.openxmlformats.org/officeDocument/2006/relationships/hyperlink" Target="https://www.worldometers.info/world-population/taiwan-population/" TargetMode="External"/><Relationship Id="rId82" Type="http://schemas.openxmlformats.org/officeDocument/2006/relationships/hyperlink" Target="https://www.worldometers.info/world-population/haiti-population/" TargetMode="External"/><Relationship Id="rId199" Type="http://schemas.openxmlformats.org/officeDocument/2006/relationships/hyperlink" Target="https://www.worldometers.info/world-population/antigua-and-barbuda-population/" TargetMode="External"/><Relationship Id="rId203" Type="http://schemas.openxmlformats.org/officeDocument/2006/relationships/hyperlink" Target="https://www.worldometers.info/world-population/cayman-islands-population/" TargetMode="External"/><Relationship Id="rId19" Type="http://schemas.openxmlformats.org/officeDocument/2006/relationships/hyperlink" Target="https://www.worldometers.info/world-population/germany-population/" TargetMode="External"/><Relationship Id="rId224" Type="http://schemas.openxmlformats.org/officeDocument/2006/relationships/hyperlink" Target="https://www.worldometers.info/world-population/saint-barthelemy-population/" TargetMode="External"/><Relationship Id="rId30" Type="http://schemas.openxmlformats.org/officeDocument/2006/relationships/hyperlink" Target="https://www.worldometers.info/world-population/sudan-population/" TargetMode="External"/><Relationship Id="rId105" Type="http://schemas.openxmlformats.org/officeDocument/2006/relationships/hyperlink" Target="https://www.worldometers.info/world-population/libya-population/" TargetMode="External"/><Relationship Id="rId126" Type="http://schemas.openxmlformats.org/officeDocument/2006/relationships/hyperlink" Target="https://www.worldometers.info/world-population/new-zealand-population/" TargetMode="External"/><Relationship Id="rId147" Type="http://schemas.openxmlformats.org/officeDocument/2006/relationships/hyperlink" Target="https://www.worldometers.info/world-population/lesotho-population/" TargetMode="External"/><Relationship Id="rId168" Type="http://schemas.openxmlformats.org/officeDocument/2006/relationships/hyperlink" Target="https://www.worldometers.info/world-population/luxembourg-population/" TargetMode="External"/><Relationship Id="rId51" Type="http://schemas.openxmlformats.org/officeDocument/2006/relationships/hyperlink" Target="https://www.worldometers.info/world-population/cameroon-population/" TargetMode="External"/><Relationship Id="rId72" Type="http://schemas.openxmlformats.org/officeDocument/2006/relationships/hyperlink" Target="https://www.worldometers.info/world-population/ecuador-population/" TargetMode="External"/><Relationship Id="rId93" Type="http://schemas.openxmlformats.org/officeDocument/2006/relationships/hyperlink" Target="https://www.worldometers.info/world-population/portugal-population/" TargetMode="External"/><Relationship Id="rId189" Type="http://schemas.openxmlformats.org/officeDocument/2006/relationships/hyperlink" Target="https://www.worldometers.info/world-population/curacao-population/" TargetMode="External"/><Relationship Id="rId3" Type="http://schemas.openxmlformats.org/officeDocument/2006/relationships/hyperlink" Target="https://www.worldometers.info/world-population/us-population/" TargetMode="External"/><Relationship Id="rId214" Type="http://schemas.openxmlformats.org/officeDocument/2006/relationships/hyperlink" Target="https://www.worldometers.info/world-population/gibraltar-population/" TargetMode="External"/><Relationship Id="rId235" Type="http://schemas.openxmlformats.org/officeDocument/2006/relationships/comments" Target="../comments2.xml"/><Relationship Id="rId116" Type="http://schemas.openxmlformats.org/officeDocument/2006/relationships/hyperlink" Target="https://www.worldometers.info/world-population/lebanon-population/" TargetMode="External"/><Relationship Id="rId137" Type="http://schemas.openxmlformats.org/officeDocument/2006/relationships/hyperlink" Target="https://www.worldometers.info/world-population/qatar-population/" TargetMode="External"/><Relationship Id="rId158" Type="http://schemas.openxmlformats.org/officeDocument/2006/relationships/hyperlink" Target="https://www.worldometers.info/world-population/mauritius-population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orldometers.info/world-population/liberia-population/" TargetMode="External"/><Relationship Id="rId21" Type="http://schemas.openxmlformats.org/officeDocument/2006/relationships/hyperlink" Target="https://www.worldometers.info/world-population/tanzania-population/" TargetMode="External"/><Relationship Id="rId42" Type="http://schemas.openxmlformats.org/officeDocument/2006/relationships/hyperlink" Target="https://www.worldometers.info/world-population/poland-population/" TargetMode="External"/><Relationship Id="rId63" Type="http://schemas.openxmlformats.org/officeDocument/2006/relationships/hyperlink" Target="https://www.worldometers.info/world-population/zambia-population/" TargetMode="External"/><Relationship Id="rId84" Type="http://schemas.openxmlformats.org/officeDocument/2006/relationships/hyperlink" Target="https://www.worldometers.info/world-population/jordan-population/" TargetMode="External"/><Relationship Id="rId138" Type="http://schemas.openxmlformats.org/officeDocument/2006/relationships/hyperlink" Target="https://www.worldometers.info/world-population/namibia-population/" TargetMode="External"/><Relationship Id="rId159" Type="http://schemas.openxmlformats.org/officeDocument/2006/relationships/hyperlink" Target="https://www.worldometers.info/world-population/swaziland-population/" TargetMode="External"/><Relationship Id="rId170" Type="http://schemas.openxmlformats.org/officeDocument/2006/relationships/hyperlink" Target="https://www.worldometers.info/world-population/montenegro-population/" TargetMode="External"/><Relationship Id="rId191" Type="http://schemas.openxmlformats.org/officeDocument/2006/relationships/hyperlink" Target="https://www.worldometers.info/world-population/guam-population/" TargetMode="External"/><Relationship Id="rId205" Type="http://schemas.openxmlformats.org/officeDocument/2006/relationships/hyperlink" Target="https://www.worldometers.info/world-population/bermuda-population/" TargetMode="External"/><Relationship Id="rId226" Type="http://schemas.openxmlformats.org/officeDocument/2006/relationships/hyperlink" Target="https://www.worldometers.info/world-population/tuvalu-population/" TargetMode="External"/><Relationship Id="rId107" Type="http://schemas.openxmlformats.org/officeDocument/2006/relationships/hyperlink" Target="https://www.worldometers.info/world-population/kyrgyzstan-population/" TargetMode="External"/><Relationship Id="rId11" Type="http://schemas.openxmlformats.org/officeDocument/2006/relationships/hyperlink" Target="https://www.worldometers.info/world-population/mexico-population/" TargetMode="External"/><Relationship Id="rId32" Type="http://schemas.openxmlformats.org/officeDocument/2006/relationships/hyperlink" Target="https://www.worldometers.info/world-population/spain-population/" TargetMode="External"/><Relationship Id="rId53" Type="http://schemas.openxmlformats.org/officeDocument/2006/relationships/hyperlink" Target="https://www.worldometers.info/world-population/venezuela-population/" TargetMode="External"/><Relationship Id="rId74" Type="http://schemas.openxmlformats.org/officeDocument/2006/relationships/hyperlink" Target="https://www.worldometers.info/world-population/zimbabwe-population/" TargetMode="External"/><Relationship Id="rId128" Type="http://schemas.openxmlformats.org/officeDocument/2006/relationships/hyperlink" Target="https://www.worldometers.info/world-population/kuwait-population/" TargetMode="External"/><Relationship Id="rId149" Type="http://schemas.openxmlformats.org/officeDocument/2006/relationships/hyperlink" Target="https://www.worldometers.info/world-population/slovenia-population/" TargetMode="External"/><Relationship Id="rId5" Type="http://schemas.openxmlformats.org/officeDocument/2006/relationships/hyperlink" Target="https://www.worldometers.info/world-population/pakistan-population/" TargetMode="External"/><Relationship Id="rId95" Type="http://schemas.openxmlformats.org/officeDocument/2006/relationships/hyperlink" Target="https://www.worldometers.info/world-population/greece-population/" TargetMode="External"/><Relationship Id="rId160" Type="http://schemas.openxmlformats.org/officeDocument/2006/relationships/hyperlink" Target="https://www.worldometers.info/world-population/djibouti-population/" TargetMode="External"/><Relationship Id="rId181" Type="http://schemas.openxmlformats.org/officeDocument/2006/relationships/hyperlink" Target="https://www.worldometers.info/world-population/mayotte-population/" TargetMode="External"/><Relationship Id="rId216" Type="http://schemas.openxmlformats.org/officeDocument/2006/relationships/hyperlink" Target="https://www.worldometers.info/world-population/monaco-population/" TargetMode="External"/><Relationship Id="rId22" Type="http://schemas.openxmlformats.org/officeDocument/2006/relationships/hyperlink" Target="https://www.worldometers.info/world-population/uk-population/" TargetMode="External"/><Relationship Id="rId43" Type="http://schemas.openxmlformats.org/officeDocument/2006/relationships/hyperlink" Target="https://www.worldometers.info/world-population/uzbekistan-population/" TargetMode="External"/><Relationship Id="rId64" Type="http://schemas.openxmlformats.org/officeDocument/2006/relationships/hyperlink" Target="https://www.worldometers.info/world-population/chad-population/" TargetMode="External"/><Relationship Id="rId118" Type="http://schemas.openxmlformats.org/officeDocument/2006/relationships/hyperlink" Target="https://www.worldometers.info/world-population/finland-population/" TargetMode="External"/><Relationship Id="rId139" Type="http://schemas.openxmlformats.org/officeDocument/2006/relationships/hyperlink" Target="https://www.worldometers.info/world-population/moldova-population/" TargetMode="External"/><Relationship Id="rId85" Type="http://schemas.openxmlformats.org/officeDocument/2006/relationships/hyperlink" Target="https://www.worldometers.info/world-population/dominican-republic-population/" TargetMode="External"/><Relationship Id="rId150" Type="http://schemas.openxmlformats.org/officeDocument/2006/relationships/hyperlink" Target="https://www.worldometers.info/world-population/equatorial-guinea-population/" TargetMode="External"/><Relationship Id="rId171" Type="http://schemas.openxmlformats.org/officeDocument/2006/relationships/hyperlink" Target="https://www.worldometers.info/world-population/western-sahara-population/" TargetMode="External"/><Relationship Id="rId192" Type="http://schemas.openxmlformats.org/officeDocument/2006/relationships/hyperlink" Target="https://www.worldometers.info/world-population/kiribati-population/" TargetMode="External"/><Relationship Id="rId206" Type="http://schemas.openxmlformats.org/officeDocument/2006/relationships/hyperlink" Target="https://www.worldometers.info/world-population/faeroe-islands-population/" TargetMode="External"/><Relationship Id="rId227" Type="http://schemas.openxmlformats.org/officeDocument/2006/relationships/hyperlink" Target="https://www.worldometers.info/world-population/saint-pierre-and-miquelon-population/" TargetMode="External"/><Relationship Id="rId12" Type="http://schemas.openxmlformats.org/officeDocument/2006/relationships/hyperlink" Target="https://www.worldometers.info/world-population/japan-population/" TargetMode="External"/><Relationship Id="rId33" Type="http://schemas.openxmlformats.org/officeDocument/2006/relationships/hyperlink" Target="https://www.worldometers.info/world-population/algeria-population/" TargetMode="External"/><Relationship Id="rId108" Type="http://schemas.openxmlformats.org/officeDocument/2006/relationships/hyperlink" Target="https://www.worldometers.info/world-population/paraguay-population/" TargetMode="External"/><Relationship Id="rId129" Type="http://schemas.openxmlformats.org/officeDocument/2006/relationships/hyperlink" Target="https://www.worldometers.info/world-population/panama-population/" TargetMode="External"/><Relationship Id="rId54" Type="http://schemas.openxmlformats.org/officeDocument/2006/relationships/hyperlink" Target="https://www.worldometers.info/world-population/niger-population/" TargetMode="External"/><Relationship Id="rId75" Type="http://schemas.openxmlformats.org/officeDocument/2006/relationships/hyperlink" Target="https://www.worldometers.info/world-population/guinea-population/" TargetMode="External"/><Relationship Id="rId96" Type="http://schemas.openxmlformats.org/officeDocument/2006/relationships/hyperlink" Target="https://www.worldometers.info/world-population/togo-population/" TargetMode="External"/><Relationship Id="rId140" Type="http://schemas.openxmlformats.org/officeDocument/2006/relationships/hyperlink" Target="https://www.worldometers.info/world-population/armenia-population/" TargetMode="External"/><Relationship Id="rId161" Type="http://schemas.openxmlformats.org/officeDocument/2006/relationships/hyperlink" Target="https://www.worldometers.info/world-population/fiji-population/" TargetMode="External"/><Relationship Id="rId182" Type="http://schemas.openxmlformats.org/officeDocument/2006/relationships/hyperlink" Target="https://www.worldometers.info/world-population/vanuatu-population/" TargetMode="External"/><Relationship Id="rId217" Type="http://schemas.openxmlformats.org/officeDocument/2006/relationships/hyperlink" Target="https://www.worldometers.info/world-population/marshall-islands-population/" TargetMode="External"/><Relationship Id="rId6" Type="http://schemas.openxmlformats.org/officeDocument/2006/relationships/hyperlink" Target="https://www.worldometers.info/world-population/nigeria-population/" TargetMode="External"/><Relationship Id="rId23" Type="http://schemas.openxmlformats.org/officeDocument/2006/relationships/hyperlink" Target="https://www.worldometers.info/world-population/france-population/" TargetMode="External"/><Relationship Id="rId119" Type="http://schemas.openxmlformats.org/officeDocument/2006/relationships/hyperlink" Target="https://www.worldometers.info/world-population/norway-population/" TargetMode="External"/><Relationship Id="rId44" Type="http://schemas.openxmlformats.org/officeDocument/2006/relationships/hyperlink" Target="https://www.worldometers.info/world-population/malaysia-population/" TargetMode="External"/><Relationship Id="rId65" Type="http://schemas.openxmlformats.org/officeDocument/2006/relationships/hyperlink" Target="https://www.worldometers.info/world-population/kazakhstan-population/" TargetMode="External"/><Relationship Id="rId86" Type="http://schemas.openxmlformats.org/officeDocument/2006/relationships/hyperlink" Target="https://www.worldometers.info/world-population/united-arab-emirates-population/" TargetMode="External"/><Relationship Id="rId130" Type="http://schemas.openxmlformats.org/officeDocument/2006/relationships/hyperlink" Target="https://www.worldometers.info/world-population/croatia-population/" TargetMode="External"/><Relationship Id="rId151" Type="http://schemas.openxmlformats.org/officeDocument/2006/relationships/hyperlink" Target="https://www.worldometers.info/world-population/latvia-population/" TargetMode="External"/><Relationship Id="rId172" Type="http://schemas.openxmlformats.org/officeDocument/2006/relationships/hyperlink" Target="https://www.worldometers.info/world-population/malta-population/" TargetMode="External"/><Relationship Id="rId193" Type="http://schemas.openxmlformats.org/officeDocument/2006/relationships/hyperlink" Target="https://www.worldometers.info/world-population/seychelles-population/" TargetMode="External"/><Relationship Id="rId207" Type="http://schemas.openxmlformats.org/officeDocument/2006/relationships/hyperlink" Target="https://www.worldometers.info/world-population/greenland-population/" TargetMode="External"/><Relationship Id="rId228" Type="http://schemas.openxmlformats.org/officeDocument/2006/relationships/hyperlink" Target="https://www.worldometers.info/world-population/saint-helena-population/" TargetMode="External"/><Relationship Id="rId13" Type="http://schemas.openxmlformats.org/officeDocument/2006/relationships/hyperlink" Target="https://www.worldometers.info/world-population/egypt-population/" TargetMode="External"/><Relationship Id="rId109" Type="http://schemas.openxmlformats.org/officeDocument/2006/relationships/hyperlink" Target="https://www.worldometers.info/world-population/nicaragua-population/" TargetMode="External"/><Relationship Id="rId34" Type="http://schemas.openxmlformats.org/officeDocument/2006/relationships/hyperlink" Target="https://www.worldometers.info/world-population/iraq-population/" TargetMode="External"/><Relationship Id="rId55" Type="http://schemas.openxmlformats.org/officeDocument/2006/relationships/hyperlink" Target="https://www.worldometers.info/world-population/australia-population/" TargetMode="External"/><Relationship Id="rId76" Type="http://schemas.openxmlformats.org/officeDocument/2006/relationships/hyperlink" Target="https://www.worldometers.info/world-population/benin-population/" TargetMode="External"/><Relationship Id="rId97" Type="http://schemas.openxmlformats.org/officeDocument/2006/relationships/hyperlink" Target="https://www.worldometers.info/world-population/hungary-population/" TargetMode="External"/><Relationship Id="rId120" Type="http://schemas.openxmlformats.org/officeDocument/2006/relationships/hyperlink" Target="https://www.worldometers.info/world-population/state-of-palestine-population/" TargetMode="External"/><Relationship Id="rId141" Type="http://schemas.openxmlformats.org/officeDocument/2006/relationships/hyperlink" Target="https://www.worldometers.info/world-population/jamaica-population/" TargetMode="External"/><Relationship Id="rId7" Type="http://schemas.openxmlformats.org/officeDocument/2006/relationships/hyperlink" Target="https://www.worldometers.info/world-population/brazil-population/" TargetMode="External"/><Relationship Id="rId162" Type="http://schemas.openxmlformats.org/officeDocument/2006/relationships/hyperlink" Target="https://www.worldometers.info/world-population/comoros-population/" TargetMode="External"/><Relationship Id="rId183" Type="http://schemas.openxmlformats.org/officeDocument/2006/relationships/hyperlink" Target="https://www.worldometers.info/world-population/french-guiana-population/" TargetMode="External"/><Relationship Id="rId218" Type="http://schemas.openxmlformats.org/officeDocument/2006/relationships/hyperlink" Target="https://www.worldometers.info/world-population/san-marino-population/" TargetMode="External"/><Relationship Id="rId24" Type="http://schemas.openxmlformats.org/officeDocument/2006/relationships/hyperlink" Target="https://www.worldometers.info/world-population/south-africa-population/" TargetMode="External"/><Relationship Id="rId45" Type="http://schemas.openxmlformats.org/officeDocument/2006/relationships/hyperlink" Target="https://www.worldometers.info/world-population/mozambique-population/" TargetMode="External"/><Relationship Id="rId66" Type="http://schemas.openxmlformats.org/officeDocument/2006/relationships/hyperlink" Target="https://www.worldometers.info/world-population/chile-population/" TargetMode="External"/><Relationship Id="rId87" Type="http://schemas.openxmlformats.org/officeDocument/2006/relationships/hyperlink" Target="https://www.worldometers.info/world-population/honduras-population/" TargetMode="External"/><Relationship Id="rId110" Type="http://schemas.openxmlformats.org/officeDocument/2006/relationships/hyperlink" Target="https://www.worldometers.info/world-population/bulgaria-population/" TargetMode="External"/><Relationship Id="rId131" Type="http://schemas.openxmlformats.org/officeDocument/2006/relationships/hyperlink" Target="https://www.worldometers.info/world-population/georgia-population/" TargetMode="External"/><Relationship Id="rId152" Type="http://schemas.openxmlformats.org/officeDocument/2006/relationships/hyperlink" Target="https://www.worldometers.info/world-population/north-macedonia-population/" TargetMode="External"/><Relationship Id="rId173" Type="http://schemas.openxmlformats.org/officeDocument/2006/relationships/hyperlink" Target="https://www.worldometers.info/world-population/maldives-population/" TargetMode="External"/><Relationship Id="rId194" Type="http://schemas.openxmlformats.org/officeDocument/2006/relationships/hyperlink" Target="https://www.worldometers.info/world-population/grenada-population/" TargetMode="External"/><Relationship Id="rId208" Type="http://schemas.openxmlformats.org/officeDocument/2006/relationships/hyperlink" Target="https://www.worldometers.info/world-population/saint-kitts-and-nevis-population/" TargetMode="External"/><Relationship Id="rId229" Type="http://schemas.openxmlformats.org/officeDocument/2006/relationships/hyperlink" Target="https://www.worldometers.info/world-population/montserrat-population/" TargetMode="External"/><Relationship Id="rId14" Type="http://schemas.openxmlformats.org/officeDocument/2006/relationships/hyperlink" Target="https://www.worldometers.info/world-population/philippines-population/" TargetMode="External"/><Relationship Id="rId35" Type="http://schemas.openxmlformats.org/officeDocument/2006/relationships/hyperlink" Target="https://www.worldometers.info/world-population/argentina-population/" TargetMode="External"/><Relationship Id="rId56" Type="http://schemas.openxmlformats.org/officeDocument/2006/relationships/hyperlink" Target="https://www.worldometers.info/world-population/north-korea-population/" TargetMode="External"/><Relationship Id="rId77" Type="http://schemas.openxmlformats.org/officeDocument/2006/relationships/hyperlink" Target="https://www.worldometers.info/world-population/rwanda-population/" TargetMode="External"/><Relationship Id="rId100" Type="http://schemas.openxmlformats.org/officeDocument/2006/relationships/hyperlink" Target="https://www.worldometers.info/world-population/belarus-population/" TargetMode="External"/><Relationship Id="rId8" Type="http://schemas.openxmlformats.org/officeDocument/2006/relationships/hyperlink" Target="https://www.worldometers.info/world-population/bangladesh-population/" TargetMode="External"/><Relationship Id="rId98" Type="http://schemas.openxmlformats.org/officeDocument/2006/relationships/hyperlink" Target="https://www.worldometers.info/world-population/israel-population/" TargetMode="External"/><Relationship Id="rId121" Type="http://schemas.openxmlformats.org/officeDocument/2006/relationships/hyperlink" Target="https://www.worldometers.info/world-population/central-african-republic-population/" TargetMode="External"/><Relationship Id="rId142" Type="http://schemas.openxmlformats.org/officeDocument/2006/relationships/hyperlink" Target="https://www.worldometers.info/world-population/lithuania-population/" TargetMode="External"/><Relationship Id="rId163" Type="http://schemas.openxmlformats.org/officeDocument/2006/relationships/hyperlink" Target="https://www.worldometers.info/world-population/reunion-population/" TargetMode="External"/><Relationship Id="rId184" Type="http://schemas.openxmlformats.org/officeDocument/2006/relationships/hyperlink" Target="https://www.worldometers.info/world-population/new-caledonia-population/" TargetMode="External"/><Relationship Id="rId219" Type="http://schemas.openxmlformats.org/officeDocument/2006/relationships/hyperlink" Target="https://www.worldometers.info/world-population/caribbean-netherlands-population/" TargetMode="External"/><Relationship Id="rId230" Type="http://schemas.openxmlformats.org/officeDocument/2006/relationships/hyperlink" Target="https://www.worldometers.info/world-population/falkland-islands-malvinas-population/" TargetMode="External"/><Relationship Id="rId25" Type="http://schemas.openxmlformats.org/officeDocument/2006/relationships/hyperlink" Target="https://www.worldometers.info/world-population/italy-population/" TargetMode="External"/><Relationship Id="rId46" Type="http://schemas.openxmlformats.org/officeDocument/2006/relationships/hyperlink" Target="https://www.worldometers.info/world-population/ghana-population/" TargetMode="External"/><Relationship Id="rId67" Type="http://schemas.openxmlformats.org/officeDocument/2006/relationships/hyperlink" Target="https://www.worldometers.info/world-population/somalia-population/" TargetMode="External"/><Relationship Id="rId20" Type="http://schemas.openxmlformats.org/officeDocument/2006/relationships/hyperlink" Target="https://www.worldometers.info/world-population/thailand-population/" TargetMode="External"/><Relationship Id="rId41" Type="http://schemas.openxmlformats.org/officeDocument/2006/relationships/hyperlink" Target="https://www.worldometers.info/world-population/morocco-population/" TargetMode="External"/><Relationship Id="rId62" Type="http://schemas.openxmlformats.org/officeDocument/2006/relationships/hyperlink" Target="https://www.worldometers.info/world-population/malawi-population/" TargetMode="External"/><Relationship Id="rId83" Type="http://schemas.openxmlformats.org/officeDocument/2006/relationships/hyperlink" Target="https://www.worldometers.info/world-population/belgium-population/" TargetMode="External"/><Relationship Id="rId88" Type="http://schemas.openxmlformats.org/officeDocument/2006/relationships/hyperlink" Target="https://www.worldometers.info/world-population/cuba-population/" TargetMode="External"/><Relationship Id="rId111" Type="http://schemas.openxmlformats.org/officeDocument/2006/relationships/hyperlink" Target="https://www.worldometers.info/world-population/serbia-population/" TargetMode="External"/><Relationship Id="rId132" Type="http://schemas.openxmlformats.org/officeDocument/2006/relationships/hyperlink" Target="https://www.worldometers.info/world-population/eritrea-population/" TargetMode="External"/><Relationship Id="rId153" Type="http://schemas.openxmlformats.org/officeDocument/2006/relationships/hyperlink" Target="https://www.worldometers.info/world-population/bahrain-population/" TargetMode="External"/><Relationship Id="rId174" Type="http://schemas.openxmlformats.org/officeDocument/2006/relationships/hyperlink" Target="https://www.worldometers.info/world-population/cabo-verde-population/" TargetMode="External"/><Relationship Id="rId179" Type="http://schemas.openxmlformats.org/officeDocument/2006/relationships/hyperlink" Target="https://www.worldometers.info/world-population/guadeloupe-population/" TargetMode="External"/><Relationship Id="rId195" Type="http://schemas.openxmlformats.org/officeDocument/2006/relationships/hyperlink" Target="https://www.worldometers.info/world-population/micronesia-population/" TargetMode="External"/><Relationship Id="rId209" Type="http://schemas.openxmlformats.org/officeDocument/2006/relationships/hyperlink" Target="https://www.worldometers.info/world-population/turks-and-caicos-islands-population/" TargetMode="External"/><Relationship Id="rId190" Type="http://schemas.openxmlformats.org/officeDocument/2006/relationships/hyperlink" Target="https://www.worldometers.info/world-population/saint-lucia-population/" TargetMode="External"/><Relationship Id="rId204" Type="http://schemas.openxmlformats.org/officeDocument/2006/relationships/hyperlink" Target="https://www.worldometers.info/world-population/dominica-population/" TargetMode="External"/><Relationship Id="rId220" Type="http://schemas.openxmlformats.org/officeDocument/2006/relationships/hyperlink" Target="https://www.worldometers.info/world-population/palau-population/" TargetMode="External"/><Relationship Id="rId225" Type="http://schemas.openxmlformats.org/officeDocument/2006/relationships/hyperlink" Target="https://www.worldometers.info/world-population/wallis-and-futuna-islands-population/" TargetMode="External"/><Relationship Id="rId15" Type="http://schemas.openxmlformats.org/officeDocument/2006/relationships/hyperlink" Target="https://www.worldometers.info/world-population/democratic-republic-of-the-congo-population/" TargetMode="External"/><Relationship Id="rId36" Type="http://schemas.openxmlformats.org/officeDocument/2006/relationships/hyperlink" Target="https://www.worldometers.info/world-population/afghanistan-population/" TargetMode="External"/><Relationship Id="rId57" Type="http://schemas.openxmlformats.org/officeDocument/2006/relationships/hyperlink" Target="https://www.worldometers.info/world-population/syria-population/" TargetMode="External"/><Relationship Id="rId106" Type="http://schemas.openxmlformats.org/officeDocument/2006/relationships/hyperlink" Target="https://www.worldometers.info/world-population/china-hong-kong-sar-population/" TargetMode="External"/><Relationship Id="rId127" Type="http://schemas.openxmlformats.org/officeDocument/2006/relationships/hyperlink" Target="https://www.worldometers.info/world-population/costa-rica-population/" TargetMode="External"/><Relationship Id="rId10" Type="http://schemas.openxmlformats.org/officeDocument/2006/relationships/hyperlink" Target="https://www.worldometers.info/world-population/ethiopia-population/" TargetMode="External"/><Relationship Id="rId31" Type="http://schemas.openxmlformats.org/officeDocument/2006/relationships/hyperlink" Target="https://www.worldometers.info/world-population/uganda-population/" TargetMode="External"/><Relationship Id="rId52" Type="http://schemas.openxmlformats.org/officeDocument/2006/relationships/hyperlink" Target="https://www.worldometers.info/world-population/nepal-population/" TargetMode="External"/><Relationship Id="rId73" Type="http://schemas.openxmlformats.org/officeDocument/2006/relationships/hyperlink" Target="https://www.worldometers.info/world-population/cambodia-population/" TargetMode="External"/><Relationship Id="rId78" Type="http://schemas.openxmlformats.org/officeDocument/2006/relationships/hyperlink" Target="https://www.worldometers.info/world-population/burundi-population/" TargetMode="External"/><Relationship Id="rId94" Type="http://schemas.openxmlformats.org/officeDocument/2006/relationships/hyperlink" Target="https://www.worldometers.info/world-population/azerbaijan-population/" TargetMode="External"/><Relationship Id="rId99" Type="http://schemas.openxmlformats.org/officeDocument/2006/relationships/hyperlink" Target="https://www.worldometers.info/world-population/austria-population/" TargetMode="External"/><Relationship Id="rId101" Type="http://schemas.openxmlformats.org/officeDocument/2006/relationships/hyperlink" Target="https://www.worldometers.info/world-population/switzerland-population/" TargetMode="External"/><Relationship Id="rId122" Type="http://schemas.openxmlformats.org/officeDocument/2006/relationships/hyperlink" Target="https://www.worldometers.info/world-population/oman-population/" TargetMode="External"/><Relationship Id="rId143" Type="http://schemas.openxmlformats.org/officeDocument/2006/relationships/hyperlink" Target="https://www.worldometers.info/world-population/gambia-population/" TargetMode="External"/><Relationship Id="rId148" Type="http://schemas.openxmlformats.org/officeDocument/2006/relationships/hyperlink" Target="https://www.worldometers.info/world-population/guinea-bissau-population/" TargetMode="External"/><Relationship Id="rId164" Type="http://schemas.openxmlformats.org/officeDocument/2006/relationships/hyperlink" Target="https://www.worldometers.info/world-population/solomon-islands-population/" TargetMode="External"/><Relationship Id="rId169" Type="http://schemas.openxmlformats.org/officeDocument/2006/relationships/hyperlink" Target="https://www.worldometers.info/world-population/suriname-population/" TargetMode="External"/><Relationship Id="rId185" Type="http://schemas.openxmlformats.org/officeDocument/2006/relationships/hyperlink" Target="https://www.worldometers.info/world-population/barbados-population/" TargetMode="External"/><Relationship Id="rId4" Type="http://schemas.openxmlformats.org/officeDocument/2006/relationships/hyperlink" Target="https://www.worldometers.info/world-population/indonesia-population/" TargetMode="External"/><Relationship Id="rId9" Type="http://schemas.openxmlformats.org/officeDocument/2006/relationships/hyperlink" Target="https://www.worldometers.info/world-population/russia-population/" TargetMode="External"/><Relationship Id="rId180" Type="http://schemas.openxmlformats.org/officeDocument/2006/relationships/hyperlink" Target="https://www.worldometers.info/world-population/martinique-population/" TargetMode="External"/><Relationship Id="rId210" Type="http://schemas.openxmlformats.org/officeDocument/2006/relationships/hyperlink" Target="https://www.worldometers.info/world-population/american-samoa-population/" TargetMode="External"/><Relationship Id="rId215" Type="http://schemas.openxmlformats.org/officeDocument/2006/relationships/hyperlink" Target="https://www.worldometers.info/world-population/british-virgin-islands-population/" TargetMode="External"/><Relationship Id="rId26" Type="http://schemas.openxmlformats.org/officeDocument/2006/relationships/hyperlink" Target="https://www.worldometers.info/world-population/kenya-population/" TargetMode="External"/><Relationship Id="rId231" Type="http://schemas.openxmlformats.org/officeDocument/2006/relationships/hyperlink" Target="https://www.worldometers.info/world-population/tokelau-population/" TargetMode="External"/><Relationship Id="rId47" Type="http://schemas.openxmlformats.org/officeDocument/2006/relationships/hyperlink" Target="https://www.worldometers.info/world-population/peru-population/" TargetMode="External"/><Relationship Id="rId68" Type="http://schemas.openxmlformats.org/officeDocument/2006/relationships/hyperlink" Target="https://www.worldometers.info/world-population/senegal-population/" TargetMode="External"/><Relationship Id="rId89" Type="http://schemas.openxmlformats.org/officeDocument/2006/relationships/hyperlink" Target="https://www.worldometers.info/world-population/tajikistan-population/" TargetMode="External"/><Relationship Id="rId112" Type="http://schemas.openxmlformats.org/officeDocument/2006/relationships/hyperlink" Target="https://www.worldometers.info/world-population/congo-population/" TargetMode="External"/><Relationship Id="rId133" Type="http://schemas.openxmlformats.org/officeDocument/2006/relationships/hyperlink" Target="https://www.worldometers.info/world-population/mongolia-population/" TargetMode="External"/><Relationship Id="rId154" Type="http://schemas.openxmlformats.org/officeDocument/2006/relationships/hyperlink" Target="https://www.worldometers.info/world-population/trinidad-and-tobago-population/" TargetMode="External"/><Relationship Id="rId175" Type="http://schemas.openxmlformats.org/officeDocument/2006/relationships/hyperlink" Target="https://www.worldometers.info/world-population/brunei-darussalam-population/" TargetMode="External"/><Relationship Id="rId196" Type="http://schemas.openxmlformats.org/officeDocument/2006/relationships/hyperlink" Target="https://www.worldometers.info/world-population/aruba-population/" TargetMode="External"/><Relationship Id="rId200" Type="http://schemas.openxmlformats.org/officeDocument/2006/relationships/hyperlink" Target="https://www.worldometers.info/world-population/united-states-virgin-islands-population/" TargetMode="External"/><Relationship Id="rId16" Type="http://schemas.openxmlformats.org/officeDocument/2006/relationships/hyperlink" Target="https://www.worldometers.info/world-population/vietnam-population/" TargetMode="External"/><Relationship Id="rId221" Type="http://schemas.openxmlformats.org/officeDocument/2006/relationships/hyperlink" Target="https://www.worldometers.info/world-population/anguilla-population/" TargetMode="External"/><Relationship Id="rId37" Type="http://schemas.openxmlformats.org/officeDocument/2006/relationships/hyperlink" Target="https://www.worldometers.info/world-population/yemen-population/" TargetMode="External"/><Relationship Id="rId58" Type="http://schemas.openxmlformats.org/officeDocument/2006/relationships/hyperlink" Target="https://www.worldometers.info/world-population/mali-population/" TargetMode="External"/><Relationship Id="rId79" Type="http://schemas.openxmlformats.org/officeDocument/2006/relationships/hyperlink" Target="https://www.worldometers.info/world-population/bolivia-population/" TargetMode="External"/><Relationship Id="rId102" Type="http://schemas.openxmlformats.org/officeDocument/2006/relationships/hyperlink" Target="https://www.worldometers.info/world-population/sierra-leone-population/" TargetMode="External"/><Relationship Id="rId123" Type="http://schemas.openxmlformats.org/officeDocument/2006/relationships/hyperlink" Target="https://www.worldometers.info/world-population/slovakia-population/" TargetMode="External"/><Relationship Id="rId144" Type="http://schemas.openxmlformats.org/officeDocument/2006/relationships/hyperlink" Target="https://www.worldometers.info/world-population/albania-population/" TargetMode="External"/><Relationship Id="rId90" Type="http://schemas.openxmlformats.org/officeDocument/2006/relationships/hyperlink" Target="https://www.worldometers.info/world-population/papua-new-guinea-population/" TargetMode="External"/><Relationship Id="rId165" Type="http://schemas.openxmlformats.org/officeDocument/2006/relationships/hyperlink" Target="https://www.worldometers.info/world-population/guyana-population/" TargetMode="External"/><Relationship Id="rId186" Type="http://schemas.openxmlformats.org/officeDocument/2006/relationships/hyperlink" Target="https://www.worldometers.info/world-population/french-polynesia-population/" TargetMode="External"/><Relationship Id="rId211" Type="http://schemas.openxmlformats.org/officeDocument/2006/relationships/hyperlink" Target="https://www.worldometers.info/world-population/sint-maarten-population/" TargetMode="External"/><Relationship Id="rId232" Type="http://schemas.openxmlformats.org/officeDocument/2006/relationships/hyperlink" Target="https://www.worldometers.info/world-population/niue-population/" TargetMode="External"/><Relationship Id="rId27" Type="http://schemas.openxmlformats.org/officeDocument/2006/relationships/hyperlink" Target="https://www.worldometers.info/world-population/myanmar-population/" TargetMode="External"/><Relationship Id="rId48" Type="http://schemas.openxmlformats.org/officeDocument/2006/relationships/hyperlink" Target="https://www.worldometers.info/world-population/saudi-arabia-population/" TargetMode="External"/><Relationship Id="rId69" Type="http://schemas.openxmlformats.org/officeDocument/2006/relationships/hyperlink" Target="https://www.worldometers.info/world-population/romania-population/" TargetMode="External"/><Relationship Id="rId113" Type="http://schemas.openxmlformats.org/officeDocument/2006/relationships/hyperlink" Target="https://www.worldometers.info/world-population/el-salvador-population/" TargetMode="External"/><Relationship Id="rId134" Type="http://schemas.openxmlformats.org/officeDocument/2006/relationships/hyperlink" Target="https://www.worldometers.info/world-population/uruguay-population/" TargetMode="External"/><Relationship Id="rId80" Type="http://schemas.openxmlformats.org/officeDocument/2006/relationships/hyperlink" Target="https://www.worldometers.info/world-population/tunisia-population/" TargetMode="External"/><Relationship Id="rId155" Type="http://schemas.openxmlformats.org/officeDocument/2006/relationships/hyperlink" Target="https://www.worldometers.info/world-population/timor-leste-population/" TargetMode="External"/><Relationship Id="rId176" Type="http://schemas.openxmlformats.org/officeDocument/2006/relationships/hyperlink" Target="https://www.worldometers.info/world-population/belize-population/" TargetMode="External"/><Relationship Id="rId197" Type="http://schemas.openxmlformats.org/officeDocument/2006/relationships/hyperlink" Target="https://www.worldometers.info/world-population/tonga-population/" TargetMode="External"/><Relationship Id="rId201" Type="http://schemas.openxmlformats.org/officeDocument/2006/relationships/hyperlink" Target="https://www.worldometers.info/world-population/isle-of-man-population/" TargetMode="External"/><Relationship Id="rId222" Type="http://schemas.openxmlformats.org/officeDocument/2006/relationships/hyperlink" Target="https://www.worldometers.info/world-population/cook-islands-population/" TargetMode="External"/><Relationship Id="rId17" Type="http://schemas.openxmlformats.org/officeDocument/2006/relationships/hyperlink" Target="https://www.worldometers.info/world-population/iran-population/" TargetMode="External"/><Relationship Id="rId38" Type="http://schemas.openxmlformats.org/officeDocument/2006/relationships/hyperlink" Target="https://www.worldometers.info/world-population/canada-population/" TargetMode="External"/><Relationship Id="rId59" Type="http://schemas.openxmlformats.org/officeDocument/2006/relationships/hyperlink" Target="https://www.worldometers.info/world-population/burkina-faso-population/" TargetMode="External"/><Relationship Id="rId103" Type="http://schemas.openxmlformats.org/officeDocument/2006/relationships/hyperlink" Target="https://www.worldometers.info/world-population/laos-population/" TargetMode="External"/><Relationship Id="rId124" Type="http://schemas.openxmlformats.org/officeDocument/2006/relationships/hyperlink" Target="https://www.worldometers.info/world-population/mauritania-population/" TargetMode="External"/><Relationship Id="rId70" Type="http://schemas.openxmlformats.org/officeDocument/2006/relationships/hyperlink" Target="https://www.worldometers.info/world-population/guatemala-population/" TargetMode="External"/><Relationship Id="rId91" Type="http://schemas.openxmlformats.org/officeDocument/2006/relationships/hyperlink" Target="https://www.worldometers.info/world-population/sweden-population/" TargetMode="External"/><Relationship Id="rId145" Type="http://schemas.openxmlformats.org/officeDocument/2006/relationships/hyperlink" Target="https://www.worldometers.info/world-population/gabon-population/" TargetMode="External"/><Relationship Id="rId166" Type="http://schemas.openxmlformats.org/officeDocument/2006/relationships/hyperlink" Target="https://www.worldometers.info/world-population/bhutan-population/" TargetMode="External"/><Relationship Id="rId187" Type="http://schemas.openxmlformats.org/officeDocument/2006/relationships/hyperlink" Target="https://www.worldometers.info/world-population/sao-tome-and-principe-population/" TargetMode="External"/><Relationship Id="rId1" Type="http://schemas.openxmlformats.org/officeDocument/2006/relationships/hyperlink" Target="https://www.worldometers.info/world-population/india-population/" TargetMode="External"/><Relationship Id="rId212" Type="http://schemas.openxmlformats.org/officeDocument/2006/relationships/hyperlink" Target="https://www.worldometers.info/world-population/northern-mariana-islands-population/" TargetMode="External"/><Relationship Id="rId233" Type="http://schemas.openxmlformats.org/officeDocument/2006/relationships/hyperlink" Target="https://www.worldometers.info/world-population/holy-see-population/" TargetMode="External"/><Relationship Id="rId28" Type="http://schemas.openxmlformats.org/officeDocument/2006/relationships/hyperlink" Target="https://www.worldometers.info/world-population/colombia-population/" TargetMode="External"/><Relationship Id="rId49" Type="http://schemas.openxmlformats.org/officeDocument/2006/relationships/hyperlink" Target="https://www.worldometers.info/world-population/madagascar-population/" TargetMode="External"/><Relationship Id="rId114" Type="http://schemas.openxmlformats.org/officeDocument/2006/relationships/hyperlink" Target="https://www.worldometers.info/world-population/denmark-population/" TargetMode="External"/><Relationship Id="rId60" Type="http://schemas.openxmlformats.org/officeDocument/2006/relationships/hyperlink" Target="https://www.worldometers.info/world-population/sri-lanka-population/" TargetMode="External"/><Relationship Id="rId81" Type="http://schemas.openxmlformats.org/officeDocument/2006/relationships/hyperlink" Target="https://www.worldometers.info/world-population/south-sudan-population/" TargetMode="External"/><Relationship Id="rId135" Type="http://schemas.openxmlformats.org/officeDocument/2006/relationships/hyperlink" Target="https://www.worldometers.info/world-population/puerto-rico-population/" TargetMode="External"/><Relationship Id="rId156" Type="http://schemas.openxmlformats.org/officeDocument/2006/relationships/hyperlink" Target="https://www.worldometers.info/world-population/cyprus-population/" TargetMode="External"/><Relationship Id="rId177" Type="http://schemas.openxmlformats.org/officeDocument/2006/relationships/hyperlink" Target="https://www.worldometers.info/world-population/bahamas-population/" TargetMode="External"/><Relationship Id="rId198" Type="http://schemas.openxmlformats.org/officeDocument/2006/relationships/hyperlink" Target="https://www.worldometers.info/world-population/saint-vincent-and-the-grenadines-population/" TargetMode="External"/><Relationship Id="rId202" Type="http://schemas.openxmlformats.org/officeDocument/2006/relationships/hyperlink" Target="https://www.worldometers.info/world-population/andorra-population/" TargetMode="External"/><Relationship Id="rId223" Type="http://schemas.openxmlformats.org/officeDocument/2006/relationships/hyperlink" Target="https://www.worldometers.info/world-population/nauru-population/" TargetMode="External"/><Relationship Id="rId18" Type="http://schemas.openxmlformats.org/officeDocument/2006/relationships/hyperlink" Target="https://www.worldometers.info/world-population/turkey-population/" TargetMode="External"/><Relationship Id="rId39" Type="http://schemas.openxmlformats.org/officeDocument/2006/relationships/hyperlink" Target="https://www.worldometers.info/world-population/angola-population/" TargetMode="External"/><Relationship Id="rId50" Type="http://schemas.openxmlformats.org/officeDocument/2006/relationships/hyperlink" Target="https://www.worldometers.info/world-population/cote-d-ivoire-population/" TargetMode="External"/><Relationship Id="rId104" Type="http://schemas.openxmlformats.org/officeDocument/2006/relationships/hyperlink" Target="https://www.worldometers.info/world-population/turkmenistan-population/" TargetMode="External"/><Relationship Id="rId125" Type="http://schemas.openxmlformats.org/officeDocument/2006/relationships/hyperlink" Target="https://www.worldometers.info/world-population/ireland-population/" TargetMode="External"/><Relationship Id="rId146" Type="http://schemas.openxmlformats.org/officeDocument/2006/relationships/hyperlink" Target="https://www.worldometers.info/world-population/botswana-population/" TargetMode="External"/><Relationship Id="rId167" Type="http://schemas.openxmlformats.org/officeDocument/2006/relationships/hyperlink" Target="https://www.worldometers.info/world-population/china-macao-sar-population/" TargetMode="External"/><Relationship Id="rId188" Type="http://schemas.openxmlformats.org/officeDocument/2006/relationships/hyperlink" Target="https://www.worldometers.info/world-population/samoa-population/" TargetMode="External"/><Relationship Id="rId71" Type="http://schemas.openxmlformats.org/officeDocument/2006/relationships/hyperlink" Target="https://www.worldometers.info/world-population/netherlands-population/" TargetMode="External"/><Relationship Id="rId92" Type="http://schemas.openxmlformats.org/officeDocument/2006/relationships/hyperlink" Target="https://www.worldometers.info/world-population/czechia-population/" TargetMode="External"/><Relationship Id="rId213" Type="http://schemas.openxmlformats.org/officeDocument/2006/relationships/hyperlink" Target="https://www.worldometers.info/world-population/liechtenstein-population/" TargetMode="External"/><Relationship Id="rId2" Type="http://schemas.openxmlformats.org/officeDocument/2006/relationships/hyperlink" Target="https://www.worldometers.info/world-population/china-population/" TargetMode="External"/><Relationship Id="rId29" Type="http://schemas.openxmlformats.org/officeDocument/2006/relationships/hyperlink" Target="https://www.worldometers.info/world-population/south-korea-population/" TargetMode="External"/><Relationship Id="rId40" Type="http://schemas.openxmlformats.org/officeDocument/2006/relationships/hyperlink" Target="https://www.worldometers.info/world-population/ukraine-population/" TargetMode="External"/><Relationship Id="rId115" Type="http://schemas.openxmlformats.org/officeDocument/2006/relationships/hyperlink" Target="https://www.worldometers.info/world-population/singapore-population/" TargetMode="External"/><Relationship Id="rId136" Type="http://schemas.openxmlformats.org/officeDocument/2006/relationships/hyperlink" Target="https://www.worldometers.info/world-population/bosnia-and-herzegovina-population/" TargetMode="External"/><Relationship Id="rId157" Type="http://schemas.openxmlformats.org/officeDocument/2006/relationships/hyperlink" Target="https://www.worldometers.info/world-population/estonia-population/" TargetMode="External"/><Relationship Id="rId178" Type="http://schemas.openxmlformats.org/officeDocument/2006/relationships/hyperlink" Target="https://www.worldometers.info/world-population/iceland-population/" TargetMode="External"/><Relationship Id="rId61" Type="http://schemas.openxmlformats.org/officeDocument/2006/relationships/hyperlink" Target="https://www.worldometers.info/world-population/taiwan-population/" TargetMode="External"/><Relationship Id="rId82" Type="http://schemas.openxmlformats.org/officeDocument/2006/relationships/hyperlink" Target="https://www.worldometers.info/world-population/haiti-population/" TargetMode="External"/><Relationship Id="rId199" Type="http://schemas.openxmlformats.org/officeDocument/2006/relationships/hyperlink" Target="https://www.worldometers.info/world-population/antigua-and-barbuda-population/" TargetMode="External"/><Relationship Id="rId203" Type="http://schemas.openxmlformats.org/officeDocument/2006/relationships/hyperlink" Target="https://www.worldometers.info/world-population/cayman-islands-population/" TargetMode="External"/><Relationship Id="rId19" Type="http://schemas.openxmlformats.org/officeDocument/2006/relationships/hyperlink" Target="https://www.worldometers.info/world-population/germany-population/" TargetMode="External"/><Relationship Id="rId224" Type="http://schemas.openxmlformats.org/officeDocument/2006/relationships/hyperlink" Target="https://www.worldometers.info/world-population/saint-barthelemy-population/" TargetMode="External"/><Relationship Id="rId30" Type="http://schemas.openxmlformats.org/officeDocument/2006/relationships/hyperlink" Target="https://www.worldometers.info/world-population/sudan-population/" TargetMode="External"/><Relationship Id="rId105" Type="http://schemas.openxmlformats.org/officeDocument/2006/relationships/hyperlink" Target="https://www.worldometers.info/world-population/libya-population/" TargetMode="External"/><Relationship Id="rId126" Type="http://schemas.openxmlformats.org/officeDocument/2006/relationships/hyperlink" Target="https://www.worldometers.info/world-population/new-zealand-population/" TargetMode="External"/><Relationship Id="rId147" Type="http://schemas.openxmlformats.org/officeDocument/2006/relationships/hyperlink" Target="https://www.worldometers.info/world-population/lesotho-population/" TargetMode="External"/><Relationship Id="rId168" Type="http://schemas.openxmlformats.org/officeDocument/2006/relationships/hyperlink" Target="https://www.worldometers.info/world-population/luxembourg-population/" TargetMode="External"/><Relationship Id="rId51" Type="http://schemas.openxmlformats.org/officeDocument/2006/relationships/hyperlink" Target="https://www.worldometers.info/world-population/cameroon-population/" TargetMode="External"/><Relationship Id="rId72" Type="http://schemas.openxmlformats.org/officeDocument/2006/relationships/hyperlink" Target="https://www.worldometers.info/world-population/ecuador-population/" TargetMode="External"/><Relationship Id="rId93" Type="http://schemas.openxmlformats.org/officeDocument/2006/relationships/hyperlink" Target="https://www.worldometers.info/world-population/portugal-population/" TargetMode="External"/><Relationship Id="rId189" Type="http://schemas.openxmlformats.org/officeDocument/2006/relationships/hyperlink" Target="https://www.worldometers.info/world-population/curacao-population/" TargetMode="External"/><Relationship Id="rId3" Type="http://schemas.openxmlformats.org/officeDocument/2006/relationships/hyperlink" Target="https://www.worldometers.info/world-population/us-population/" TargetMode="External"/><Relationship Id="rId214" Type="http://schemas.openxmlformats.org/officeDocument/2006/relationships/hyperlink" Target="https://www.worldometers.info/world-population/gibraltar-population/" TargetMode="External"/><Relationship Id="rId116" Type="http://schemas.openxmlformats.org/officeDocument/2006/relationships/hyperlink" Target="https://www.worldometers.info/world-population/lebanon-population/" TargetMode="External"/><Relationship Id="rId137" Type="http://schemas.openxmlformats.org/officeDocument/2006/relationships/hyperlink" Target="https://www.worldometers.info/world-population/qatar-population/" TargetMode="External"/><Relationship Id="rId158" Type="http://schemas.openxmlformats.org/officeDocument/2006/relationships/hyperlink" Target="https://www.worldometers.info/world-population/mauritius-population/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orldometers.info/gdp/mali-gdp/" TargetMode="External"/><Relationship Id="rId21" Type="http://schemas.openxmlformats.org/officeDocument/2006/relationships/hyperlink" Target="https://www.worldometers.info/gdp/poland-gdp/" TargetMode="External"/><Relationship Id="rId42" Type="http://schemas.openxmlformats.org/officeDocument/2006/relationships/hyperlink" Target="https://www.worldometers.info/gdp/colombia-gdp/" TargetMode="External"/><Relationship Id="rId63" Type="http://schemas.openxmlformats.org/officeDocument/2006/relationships/hyperlink" Target="https://www.worldometers.info/gdp/ecuador-gdp/" TargetMode="External"/><Relationship Id="rId84" Type="http://schemas.openxmlformats.org/officeDocument/2006/relationships/hyperlink" Target="https://www.worldometers.info/gdp/slovenia-gdp/" TargetMode="External"/><Relationship Id="rId138" Type="http://schemas.openxmlformats.org/officeDocument/2006/relationships/hyperlink" Target="https://www.worldometers.info/gdp/rwanda-gdp/" TargetMode="External"/><Relationship Id="rId159" Type="http://schemas.openxmlformats.org/officeDocument/2006/relationships/hyperlink" Target="https://www.worldometers.info/gdp/central-african-republic-gdp/" TargetMode="External"/><Relationship Id="rId170" Type="http://schemas.openxmlformats.org/officeDocument/2006/relationships/hyperlink" Target="https://www.worldometers.info/gdp/grenada-gdp/" TargetMode="External"/><Relationship Id="rId107" Type="http://schemas.openxmlformats.org/officeDocument/2006/relationships/hyperlink" Target="https://www.worldometers.info/gdp/georgia-gdp/" TargetMode="External"/><Relationship Id="rId11" Type="http://schemas.openxmlformats.org/officeDocument/2006/relationships/hyperlink" Target="https://www.worldometers.info/gdp/russia-gdp/" TargetMode="External"/><Relationship Id="rId32" Type="http://schemas.openxmlformats.org/officeDocument/2006/relationships/hyperlink" Target="https://www.worldometers.info/gdp/bangladesh-gdp/" TargetMode="External"/><Relationship Id="rId53" Type="http://schemas.openxmlformats.org/officeDocument/2006/relationships/hyperlink" Target="https://www.worldometers.info/gdp/algeria-gdp/" TargetMode="External"/><Relationship Id="rId74" Type="http://schemas.openxmlformats.org/officeDocument/2006/relationships/hyperlink" Target="https://www.worldometers.info/gdp/sri-lanka-gdp/" TargetMode="External"/><Relationship Id="rId128" Type="http://schemas.openxmlformats.org/officeDocument/2006/relationships/hyperlink" Target="https://www.worldometers.info/gdp/guyana-gdp/" TargetMode="External"/><Relationship Id="rId149" Type="http://schemas.openxmlformats.org/officeDocument/2006/relationships/hyperlink" Target="https://www.worldometers.info/gdp/maldives-gdp/" TargetMode="External"/><Relationship Id="rId5" Type="http://schemas.openxmlformats.org/officeDocument/2006/relationships/hyperlink" Target="https://www.worldometers.info/gdp/india-gdp/" TargetMode="External"/><Relationship Id="rId95" Type="http://schemas.openxmlformats.org/officeDocument/2006/relationships/hyperlink" Target="https://www.worldometers.info/gdp/libya-gdp/" TargetMode="External"/><Relationship Id="rId160" Type="http://schemas.openxmlformats.org/officeDocument/2006/relationships/hyperlink" Target="https://www.worldometers.info/gdp/cabo-verde-gdp/" TargetMode="External"/><Relationship Id="rId181" Type="http://schemas.openxmlformats.org/officeDocument/2006/relationships/hyperlink" Target="https://www.worldometers.info/gdp/tuvalu-gdp/" TargetMode="External"/><Relationship Id="rId22" Type="http://schemas.openxmlformats.org/officeDocument/2006/relationships/hyperlink" Target="https://www.worldometers.info/gdp/argentina-gdp/" TargetMode="External"/><Relationship Id="rId43" Type="http://schemas.openxmlformats.org/officeDocument/2006/relationships/hyperlink" Target="https://www.worldometers.info/gdp/romania-gdp/" TargetMode="External"/><Relationship Id="rId64" Type="http://schemas.openxmlformats.org/officeDocument/2006/relationships/hyperlink" Target="https://www.worldometers.info/gdp/sudan-gdp/" TargetMode="External"/><Relationship Id="rId118" Type="http://schemas.openxmlformats.org/officeDocument/2006/relationships/hyperlink" Target="https://www.worldometers.info/gdp/mongolia-gdp/" TargetMode="External"/><Relationship Id="rId139" Type="http://schemas.openxmlformats.org/officeDocument/2006/relationships/hyperlink" Target="https://www.worldometers.info/gdp/kyrgyzstan-gdp/" TargetMode="External"/><Relationship Id="rId85" Type="http://schemas.openxmlformats.org/officeDocument/2006/relationships/hyperlink" Target="https://www.worldometers.info/gdp/myanmar-gdp/" TargetMode="External"/><Relationship Id="rId150" Type="http://schemas.openxmlformats.org/officeDocument/2006/relationships/hyperlink" Target="https://www.worldometers.info/gdp/sierra-leone-gdp/" TargetMode="External"/><Relationship Id="rId171" Type="http://schemas.openxmlformats.org/officeDocument/2006/relationships/hyperlink" Target="https://www.worldometers.info/gdp/vanuatu-gdp/" TargetMode="External"/><Relationship Id="rId12" Type="http://schemas.openxmlformats.org/officeDocument/2006/relationships/hyperlink" Target="https://www.worldometers.info/gdp/mexico-gdp/" TargetMode="External"/><Relationship Id="rId33" Type="http://schemas.openxmlformats.org/officeDocument/2006/relationships/hyperlink" Target="https://www.worldometers.info/gdp/philippines-gdp/" TargetMode="External"/><Relationship Id="rId108" Type="http://schemas.openxmlformats.org/officeDocument/2006/relationships/hyperlink" Target="https://www.worldometers.info/gdp/papua-new-guinea-gdp/" TargetMode="External"/><Relationship Id="rId129" Type="http://schemas.openxmlformats.org/officeDocument/2006/relationships/hyperlink" Target="https://www.worldometers.info/gdp/niger-gdp/" TargetMode="External"/><Relationship Id="rId54" Type="http://schemas.openxmlformats.org/officeDocument/2006/relationships/hyperlink" Target="https://www.worldometers.info/gdp/greece-gdp/" TargetMode="External"/><Relationship Id="rId75" Type="http://schemas.openxmlformats.org/officeDocument/2006/relationships/hyperlink" Target="https://www.worldometers.info/gdp/panama-gdp/" TargetMode="External"/><Relationship Id="rId96" Type="http://schemas.openxmlformats.org/officeDocument/2006/relationships/hyperlink" Target="https://www.worldometers.info/gdp/paraguay-gdp/" TargetMode="External"/><Relationship Id="rId140" Type="http://schemas.openxmlformats.org/officeDocument/2006/relationships/hyperlink" Target="https://www.worldometers.info/gdp/chad-gdp/" TargetMode="External"/><Relationship Id="rId161" Type="http://schemas.openxmlformats.org/officeDocument/2006/relationships/hyperlink" Target="https://www.worldometers.info/gdp/saint-lucia-gdp/" TargetMode="External"/><Relationship Id="rId6" Type="http://schemas.openxmlformats.org/officeDocument/2006/relationships/hyperlink" Target="https://www.worldometers.info/gdp/uk-gdp/" TargetMode="External"/><Relationship Id="rId23" Type="http://schemas.openxmlformats.org/officeDocument/2006/relationships/hyperlink" Target="https://www.worldometers.info/gdp/belgium-gdp/" TargetMode="External"/><Relationship Id="rId119" Type="http://schemas.openxmlformats.org/officeDocument/2006/relationships/hyperlink" Target="https://www.worldometers.info/gdp/burkina-faso-gdp/" TargetMode="External"/><Relationship Id="rId44" Type="http://schemas.openxmlformats.org/officeDocument/2006/relationships/hyperlink" Target="https://www.worldometers.info/gdp/czechia-gdp/" TargetMode="External"/><Relationship Id="rId60" Type="http://schemas.openxmlformats.org/officeDocument/2006/relationships/hyperlink" Target="https://www.worldometers.info/gdp/morocco-gdp/" TargetMode="External"/><Relationship Id="rId65" Type="http://schemas.openxmlformats.org/officeDocument/2006/relationships/hyperlink" Target="https://www.worldometers.info/gdp/oman-gdp/" TargetMode="External"/><Relationship Id="rId81" Type="http://schemas.openxmlformats.org/officeDocument/2006/relationships/hyperlink" Target="https://www.worldometers.info/gdp/ghana-gdp/" TargetMode="External"/><Relationship Id="rId86" Type="http://schemas.openxmlformats.org/officeDocument/2006/relationships/hyperlink" Target="https://www.worldometers.info/gdp/democratic-republic-of-the-congo-gdp/" TargetMode="External"/><Relationship Id="rId130" Type="http://schemas.openxmlformats.org/officeDocument/2006/relationships/hyperlink" Target="https://www.worldometers.info/gdp/moldova-gdp/" TargetMode="External"/><Relationship Id="rId135" Type="http://schemas.openxmlformats.org/officeDocument/2006/relationships/hyperlink" Target="https://www.worldometers.info/gdp/brunei-darussalam-gdp/" TargetMode="External"/><Relationship Id="rId151" Type="http://schemas.openxmlformats.org/officeDocument/2006/relationships/hyperlink" Target="https://www.worldometers.info/gdp/fiji-gdp/" TargetMode="External"/><Relationship Id="rId156" Type="http://schemas.openxmlformats.org/officeDocument/2006/relationships/hyperlink" Target="https://www.worldometers.info/gdp/suriname-gdp/" TargetMode="External"/><Relationship Id="rId177" Type="http://schemas.openxmlformats.org/officeDocument/2006/relationships/hyperlink" Target="https://www.worldometers.info/gdp/micronesia-gdp/" TargetMode="External"/><Relationship Id="rId172" Type="http://schemas.openxmlformats.org/officeDocument/2006/relationships/hyperlink" Target="https://www.worldometers.info/gdp/saint-vincent-and-the-grenadines-gdp/" TargetMode="External"/><Relationship Id="rId13" Type="http://schemas.openxmlformats.org/officeDocument/2006/relationships/hyperlink" Target="https://www.worldometers.info/gdp/australia-gdp/" TargetMode="External"/><Relationship Id="rId18" Type="http://schemas.openxmlformats.org/officeDocument/2006/relationships/hyperlink" Target="https://www.worldometers.info/gdp/turkey-gdp/" TargetMode="External"/><Relationship Id="rId39" Type="http://schemas.openxmlformats.org/officeDocument/2006/relationships/hyperlink" Target="https://www.worldometers.info/gdp/china-hong-kong-sar-gdp/" TargetMode="External"/><Relationship Id="rId109" Type="http://schemas.openxmlformats.org/officeDocument/2006/relationships/hyperlink" Target="https://www.worldometers.info/gdp/zambia-gdp/" TargetMode="External"/><Relationship Id="rId34" Type="http://schemas.openxmlformats.org/officeDocument/2006/relationships/hyperlink" Target="https://www.worldometers.info/gdp/vietnam-gdp/" TargetMode="External"/><Relationship Id="rId50" Type="http://schemas.openxmlformats.org/officeDocument/2006/relationships/hyperlink" Target="https://www.worldometers.info/gdp/kazakhstan-gdp/" TargetMode="External"/><Relationship Id="rId55" Type="http://schemas.openxmlformats.org/officeDocument/2006/relationships/hyperlink" Target="https://www.worldometers.info/gdp/qatar-gdp/" TargetMode="External"/><Relationship Id="rId76" Type="http://schemas.openxmlformats.org/officeDocument/2006/relationships/hyperlink" Target="https://www.worldometers.info/gdp/serbia-gdp/" TargetMode="External"/><Relationship Id="rId97" Type="http://schemas.openxmlformats.org/officeDocument/2006/relationships/hyperlink" Target="https://www.worldometers.info/gdp/cambodia-gdp/" TargetMode="External"/><Relationship Id="rId104" Type="http://schemas.openxmlformats.org/officeDocument/2006/relationships/hyperlink" Target="https://www.worldometers.info/gdp/cyprus-gdp/" TargetMode="External"/><Relationship Id="rId120" Type="http://schemas.openxmlformats.org/officeDocument/2006/relationships/hyperlink" Target="https://www.worldometers.info/gdp/haiti-gdp/" TargetMode="External"/><Relationship Id="rId125" Type="http://schemas.openxmlformats.org/officeDocument/2006/relationships/hyperlink" Target="https://www.worldometers.info/gdp/nicaragua-gdp/" TargetMode="External"/><Relationship Id="rId141" Type="http://schemas.openxmlformats.org/officeDocument/2006/relationships/hyperlink" Target="https://www.worldometers.info/gdp/malawi-gdp/" TargetMode="External"/><Relationship Id="rId146" Type="http://schemas.openxmlformats.org/officeDocument/2006/relationships/hyperlink" Target="https://www.worldometers.info/gdp/togo-gdp/" TargetMode="External"/><Relationship Id="rId167" Type="http://schemas.openxmlformats.org/officeDocument/2006/relationships/hyperlink" Target="https://www.worldometers.info/gdp/antigua-and-barbuda-gdp/" TargetMode="External"/><Relationship Id="rId7" Type="http://schemas.openxmlformats.org/officeDocument/2006/relationships/hyperlink" Target="https://www.worldometers.info/gdp/france-gdp/" TargetMode="External"/><Relationship Id="rId71" Type="http://schemas.openxmlformats.org/officeDocument/2006/relationships/hyperlink" Target="https://www.worldometers.info/gdp/luxembourg-gdp/" TargetMode="External"/><Relationship Id="rId92" Type="http://schemas.openxmlformats.org/officeDocument/2006/relationships/hyperlink" Target="https://www.worldometers.info/gdp/bahrain-gdp/" TargetMode="External"/><Relationship Id="rId162" Type="http://schemas.openxmlformats.org/officeDocument/2006/relationships/hyperlink" Target="https://www.worldometers.info/gdp/gambia-gdp/" TargetMode="External"/><Relationship Id="rId2" Type="http://schemas.openxmlformats.org/officeDocument/2006/relationships/hyperlink" Target="https://www.worldometers.info/gdp/china-gdp/" TargetMode="External"/><Relationship Id="rId29" Type="http://schemas.openxmlformats.org/officeDocument/2006/relationships/hyperlink" Target="https://www.worldometers.info/gdp/austria-gdp/" TargetMode="External"/><Relationship Id="rId24" Type="http://schemas.openxmlformats.org/officeDocument/2006/relationships/hyperlink" Target="https://www.worldometers.info/gdp/sweden-gdp/" TargetMode="External"/><Relationship Id="rId40" Type="http://schemas.openxmlformats.org/officeDocument/2006/relationships/hyperlink" Target="https://www.worldometers.info/gdp/south-africa-gdp/" TargetMode="External"/><Relationship Id="rId45" Type="http://schemas.openxmlformats.org/officeDocument/2006/relationships/hyperlink" Target="https://www.worldometers.info/gdp/pakistan-gdp/" TargetMode="External"/><Relationship Id="rId66" Type="http://schemas.openxmlformats.org/officeDocument/2006/relationships/hyperlink" Target="https://www.worldometers.info/gdp/kenya-gdp/" TargetMode="External"/><Relationship Id="rId87" Type="http://schemas.openxmlformats.org/officeDocument/2006/relationships/hyperlink" Target="https://www.worldometers.info/gdp/turkmenistan-gdp/" TargetMode="External"/><Relationship Id="rId110" Type="http://schemas.openxmlformats.org/officeDocument/2006/relationships/hyperlink" Target="https://www.worldometers.info/gdp/bosnia-and-herzegovina-gdp/" TargetMode="External"/><Relationship Id="rId115" Type="http://schemas.openxmlformats.org/officeDocument/2006/relationships/hyperlink" Target="https://www.worldometers.info/gdp/guinea-gdp/" TargetMode="External"/><Relationship Id="rId131" Type="http://schemas.openxmlformats.org/officeDocument/2006/relationships/hyperlink" Target="https://www.worldometers.info/gdp/laos-gdp/" TargetMode="External"/><Relationship Id="rId136" Type="http://schemas.openxmlformats.org/officeDocument/2006/relationships/hyperlink" Target="https://www.worldometers.info/gdp/mauritius-gdp/" TargetMode="External"/><Relationship Id="rId157" Type="http://schemas.openxmlformats.org/officeDocument/2006/relationships/hyperlink" Target="https://www.worldometers.info/gdp/belize-gdp/" TargetMode="External"/><Relationship Id="rId178" Type="http://schemas.openxmlformats.org/officeDocument/2006/relationships/hyperlink" Target="https://www.worldometers.info/gdp/palau-gdp/" TargetMode="External"/><Relationship Id="rId61" Type="http://schemas.openxmlformats.org/officeDocument/2006/relationships/hyperlink" Target="https://www.worldometers.info/gdp/slovakia-gdp/" TargetMode="External"/><Relationship Id="rId82" Type="http://schemas.openxmlformats.org/officeDocument/2006/relationships/hyperlink" Target="https://www.worldometers.info/gdp/azerbaijan-gdp/" TargetMode="External"/><Relationship Id="rId152" Type="http://schemas.openxmlformats.org/officeDocument/2006/relationships/hyperlink" Target="https://www.worldometers.info/gdp/swaziland-gdp/" TargetMode="External"/><Relationship Id="rId173" Type="http://schemas.openxmlformats.org/officeDocument/2006/relationships/hyperlink" Target="https://www.worldometers.info/gdp/saint-kitts-and-nevis-gdp/" TargetMode="External"/><Relationship Id="rId19" Type="http://schemas.openxmlformats.org/officeDocument/2006/relationships/hyperlink" Target="https://www.worldometers.info/gdp/saudi-arabia-gdp/" TargetMode="External"/><Relationship Id="rId14" Type="http://schemas.openxmlformats.org/officeDocument/2006/relationships/hyperlink" Target="https://www.worldometers.info/gdp/south-korea-gdp/" TargetMode="External"/><Relationship Id="rId30" Type="http://schemas.openxmlformats.org/officeDocument/2006/relationships/hyperlink" Target="https://www.worldometers.info/gdp/singapore-gdp/" TargetMode="External"/><Relationship Id="rId35" Type="http://schemas.openxmlformats.org/officeDocument/2006/relationships/hyperlink" Target="https://www.worldometers.info/gdp/denmark-gdp/" TargetMode="External"/><Relationship Id="rId56" Type="http://schemas.openxmlformats.org/officeDocument/2006/relationships/hyperlink" Target="https://www.worldometers.info/gdp/hungary-gdp/" TargetMode="External"/><Relationship Id="rId77" Type="http://schemas.openxmlformats.org/officeDocument/2006/relationships/hyperlink" Target="https://www.worldometers.info/gdp/lithuania-gdp/" TargetMode="External"/><Relationship Id="rId100" Type="http://schemas.openxmlformats.org/officeDocument/2006/relationships/hyperlink" Target="https://www.worldometers.info/gdp/nepal-gdp/" TargetMode="External"/><Relationship Id="rId105" Type="http://schemas.openxmlformats.org/officeDocument/2006/relationships/hyperlink" Target="https://www.worldometers.info/gdp/iceland-gdp/" TargetMode="External"/><Relationship Id="rId126" Type="http://schemas.openxmlformats.org/officeDocument/2006/relationships/hyperlink" Target="https://www.worldometers.info/gdp/state-of-palestine-gdp/" TargetMode="External"/><Relationship Id="rId147" Type="http://schemas.openxmlformats.org/officeDocument/2006/relationships/hyperlink" Target="https://www.worldometers.info/gdp/montenegro-gdp/" TargetMode="External"/><Relationship Id="rId168" Type="http://schemas.openxmlformats.org/officeDocument/2006/relationships/hyperlink" Target="https://www.worldometers.info/gdp/solomon-islands-gdp/" TargetMode="External"/><Relationship Id="rId8" Type="http://schemas.openxmlformats.org/officeDocument/2006/relationships/hyperlink" Target="https://www.worldometers.info/gdp/italy-gdp/" TargetMode="External"/><Relationship Id="rId51" Type="http://schemas.openxmlformats.org/officeDocument/2006/relationships/hyperlink" Target="https://www.worldometers.info/gdp/new-zealand-gdp/" TargetMode="External"/><Relationship Id="rId72" Type="http://schemas.openxmlformats.org/officeDocument/2006/relationships/hyperlink" Target="https://www.worldometers.info/gdp/angola-gdp/" TargetMode="External"/><Relationship Id="rId93" Type="http://schemas.openxmlformats.org/officeDocument/2006/relationships/hyperlink" Target="https://www.worldometers.info/gdp/china-macao-sar-gdp/" TargetMode="External"/><Relationship Id="rId98" Type="http://schemas.openxmlformats.org/officeDocument/2006/relationships/hyperlink" Target="https://www.worldometers.info/gdp/latvia-gdp/" TargetMode="External"/><Relationship Id="rId121" Type="http://schemas.openxmlformats.org/officeDocument/2006/relationships/hyperlink" Target="https://www.worldometers.info/gdp/benin-gdp/" TargetMode="External"/><Relationship Id="rId142" Type="http://schemas.openxmlformats.org/officeDocument/2006/relationships/hyperlink" Target="https://www.worldometers.info/gdp/namibia-gdp/" TargetMode="External"/><Relationship Id="rId163" Type="http://schemas.openxmlformats.org/officeDocument/2006/relationships/hyperlink" Target="https://www.worldometers.info/gdp/seychelles-gdp/" TargetMode="External"/><Relationship Id="rId3" Type="http://schemas.openxmlformats.org/officeDocument/2006/relationships/hyperlink" Target="https://www.worldometers.info/gdp/germany-gdp/" TargetMode="External"/><Relationship Id="rId25" Type="http://schemas.openxmlformats.org/officeDocument/2006/relationships/hyperlink" Target="https://www.worldometers.info/gdp/ireland-gdp/" TargetMode="External"/><Relationship Id="rId46" Type="http://schemas.openxmlformats.org/officeDocument/2006/relationships/hyperlink" Target="https://www.worldometers.info/gdp/chile-gdp/" TargetMode="External"/><Relationship Id="rId67" Type="http://schemas.openxmlformats.org/officeDocument/2006/relationships/hyperlink" Target="https://www.worldometers.info/gdp/guatemala-gdp/" TargetMode="External"/><Relationship Id="rId116" Type="http://schemas.openxmlformats.org/officeDocument/2006/relationships/hyperlink" Target="https://www.worldometers.info/gdp/mozambique-gdp/" TargetMode="External"/><Relationship Id="rId137" Type="http://schemas.openxmlformats.org/officeDocument/2006/relationships/hyperlink" Target="https://www.worldometers.info/gdp/bahamas-gdp/" TargetMode="External"/><Relationship Id="rId158" Type="http://schemas.openxmlformats.org/officeDocument/2006/relationships/hyperlink" Target="https://www.worldometers.info/gdp/burundi-gdp/" TargetMode="External"/><Relationship Id="rId20" Type="http://schemas.openxmlformats.org/officeDocument/2006/relationships/hyperlink" Target="https://www.worldometers.info/gdp/switzerland-gdp/" TargetMode="External"/><Relationship Id="rId41" Type="http://schemas.openxmlformats.org/officeDocument/2006/relationships/hyperlink" Target="https://www.worldometers.info/gdp/nigeria-gdp/" TargetMode="External"/><Relationship Id="rId62" Type="http://schemas.openxmlformats.org/officeDocument/2006/relationships/hyperlink" Target="https://www.worldometers.info/gdp/dominican-republic-gdp/" TargetMode="External"/><Relationship Id="rId83" Type="http://schemas.openxmlformats.org/officeDocument/2006/relationships/hyperlink" Target="https://www.worldometers.info/gdp/belarus-gdp/" TargetMode="External"/><Relationship Id="rId88" Type="http://schemas.openxmlformats.org/officeDocument/2006/relationships/hyperlink" Target="https://www.worldometers.info/gdp/jordan-gdp/" TargetMode="External"/><Relationship Id="rId111" Type="http://schemas.openxmlformats.org/officeDocument/2006/relationships/hyperlink" Target="https://www.worldometers.info/gdp/trinidad-and-tobago-gdp/" TargetMode="External"/><Relationship Id="rId132" Type="http://schemas.openxmlformats.org/officeDocument/2006/relationships/hyperlink" Target="https://www.worldometers.info/gdp/madagascar-gdp/" TargetMode="External"/><Relationship Id="rId153" Type="http://schemas.openxmlformats.org/officeDocument/2006/relationships/hyperlink" Target="https://www.worldometers.info/gdp/liberia-gdp/" TargetMode="External"/><Relationship Id="rId174" Type="http://schemas.openxmlformats.org/officeDocument/2006/relationships/hyperlink" Target="https://www.worldometers.info/gdp/samoa-gdp/" TargetMode="External"/><Relationship Id="rId179" Type="http://schemas.openxmlformats.org/officeDocument/2006/relationships/hyperlink" Target="https://www.worldometers.info/gdp/kiribati-gdp/" TargetMode="External"/><Relationship Id="rId15" Type="http://schemas.openxmlformats.org/officeDocument/2006/relationships/hyperlink" Target="https://www.worldometers.info/gdp/spain-gdp/" TargetMode="External"/><Relationship Id="rId36" Type="http://schemas.openxmlformats.org/officeDocument/2006/relationships/hyperlink" Target="https://www.worldometers.info/gdp/iran-gdp/" TargetMode="External"/><Relationship Id="rId57" Type="http://schemas.openxmlformats.org/officeDocument/2006/relationships/hyperlink" Target="https://www.worldometers.info/gdp/ukraine-gdp/" TargetMode="External"/><Relationship Id="rId106" Type="http://schemas.openxmlformats.org/officeDocument/2006/relationships/hyperlink" Target="https://www.worldometers.info/gdp/senegal-gdp/" TargetMode="External"/><Relationship Id="rId127" Type="http://schemas.openxmlformats.org/officeDocument/2006/relationships/hyperlink" Target="https://www.worldometers.info/gdp/afghanistan-gdp/" TargetMode="External"/><Relationship Id="rId10" Type="http://schemas.openxmlformats.org/officeDocument/2006/relationships/hyperlink" Target="https://www.worldometers.info/gdp/canada-gdp/" TargetMode="External"/><Relationship Id="rId31" Type="http://schemas.openxmlformats.org/officeDocument/2006/relationships/hyperlink" Target="https://www.worldometers.info/gdp/norway-gdp/" TargetMode="External"/><Relationship Id="rId52" Type="http://schemas.openxmlformats.org/officeDocument/2006/relationships/hyperlink" Target="https://www.worldometers.info/gdp/iraq-gdp/" TargetMode="External"/><Relationship Id="rId73" Type="http://schemas.openxmlformats.org/officeDocument/2006/relationships/hyperlink" Target="https://www.worldometers.info/gdp/croatia-gdp/" TargetMode="External"/><Relationship Id="rId78" Type="http://schemas.openxmlformats.org/officeDocument/2006/relationships/hyperlink" Target="https://www.worldometers.info/gdp/tanzania-gdp/" TargetMode="External"/><Relationship Id="rId94" Type="http://schemas.openxmlformats.org/officeDocument/2006/relationships/hyperlink" Target="https://www.worldometers.info/gdp/bolivia-gdp/" TargetMode="External"/><Relationship Id="rId99" Type="http://schemas.openxmlformats.org/officeDocument/2006/relationships/hyperlink" Target="https://www.worldometers.info/gdp/estonia-gdp/" TargetMode="External"/><Relationship Id="rId101" Type="http://schemas.openxmlformats.org/officeDocument/2006/relationships/hyperlink" Target="https://www.worldometers.info/gdp/zimbabwe-gdp/" TargetMode="External"/><Relationship Id="rId122" Type="http://schemas.openxmlformats.org/officeDocument/2006/relationships/hyperlink" Target="https://www.worldometers.info/gdp/jamaica-gdp/" TargetMode="External"/><Relationship Id="rId143" Type="http://schemas.openxmlformats.org/officeDocument/2006/relationships/hyperlink" Target="https://www.worldometers.info/gdp/equatorial-guinea-gdp/" TargetMode="External"/><Relationship Id="rId148" Type="http://schemas.openxmlformats.org/officeDocument/2006/relationships/hyperlink" Target="https://www.worldometers.info/gdp/barbados-gdp/" TargetMode="External"/><Relationship Id="rId164" Type="http://schemas.openxmlformats.org/officeDocument/2006/relationships/hyperlink" Target="https://www.worldometers.info/gdp/lesotho-gdp/" TargetMode="External"/><Relationship Id="rId169" Type="http://schemas.openxmlformats.org/officeDocument/2006/relationships/hyperlink" Target="https://www.worldometers.info/gdp/comoros-gdp/" TargetMode="External"/><Relationship Id="rId4" Type="http://schemas.openxmlformats.org/officeDocument/2006/relationships/hyperlink" Target="https://www.worldometers.info/gdp/japan-gdp/" TargetMode="External"/><Relationship Id="rId9" Type="http://schemas.openxmlformats.org/officeDocument/2006/relationships/hyperlink" Target="https://www.worldometers.info/gdp/brazil-gdp/" TargetMode="External"/><Relationship Id="rId180" Type="http://schemas.openxmlformats.org/officeDocument/2006/relationships/hyperlink" Target="https://www.worldometers.info/gdp/marshall-islands-gdp/" TargetMode="External"/><Relationship Id="rId26" Type="http://schemas.openxmlformats.org/officeDocument/2006/relationships/hyperlink" Target="https://www.worldometers.info/gdp/thailand-gdp/" TargetMode="External"/><Relationship Id="rId47" Type="http://schemas.openxmlformats.org/officeDocument/2006/relationships/hyperlink" Target="https://www.worldometers.info/gdp/finland-gdp/" TargetMode="External"/><Relationship Id="rId68" Type="http://schemas.openxmlformats.org/officeDocument/2006/relationships/hyperlink" Target="https://www.worldometers.info/gdp/bulgaria-gdp/" TargetMode="External"/><Relationship Id="rId89" Type="http://schemas.openxmlformats.org/officeDocument/2006/relationships/hyperlink" Target="https://www.worldometers.info/gdp/cameroon-gdp/" TargetMode="External"/><Relationship Id="rId112" Type="http://schemas.openxmlformats.org/officeDocument/2006/relationships/hyperlink" Target="https://www.worldometers.info/gdp/armenia-gdp/" TargetMode="External"/><Relationship Id="rId133" Type="http://schemas.openxmlformats.org/officeDocument/2006/relationships/hyperlink" Target="https://www.worldometers.info/gdp/north-macedonia-gdp/" TargetMode="External"/><Relationship Id="rId154" Type="http://schemas.openxmlformats.org/officeDocument/2006/relationships/hyperlink" Target="https://www.worldometers.info/gdp/andorra-gdp/" TargetMode="External"/><Relationship Id="rId175" Type="http://schemas.openxmlformats.org/officeDocument/2006/relationships/hyperlink" Target="https://www.worldometers.info/gdp/sao-tome-and-principe-gdp/" TargetMode="External"/><Relationship Id="rId16" Type="http://schemas.openxmlformats.org/officeDocument/2006/relationships/hyperlink" Target="https://www.worldometers.info/gdp/indonesia-gdp/" TargetMode="External"/><Relationship Id="rId37" Type="http://schemas.openxmlformats.org/officeDocument/2006/relationships/hyperlink" Target="https://www.worldometers.info/gdp/malaysia-gdp/" TargetMode="External"/><Relationship Id="rId58" Type="http://schemas.openxmlformats.org/officeDocument/2006/relationships/hyperlink" Target="https://www.worldometers.info/gdp/kuwait-gdp/" TargetMode="External"/><Relationship Id="rId79" Type="http://schemas.openxmlformats.org/officeDocument/2006/relationships/hyperlink" Target="https://www.worldometers.info/gdp/cote-d-ivoire-gdp/" TargetMode="External"/><Relationship Id="rId102" Type="http://schemas.openxmlformats.org/officeDocument/2006/relationships/hyperlink" Target="https://www.worldometers.info/gdp/honduras-gdp/" TargetMode="External"/><Relationship Id="rId123" Type="http://schemas.openxmlformats.org/officeDocument/2006/relationships/hyperlink" Target="https://www.worldometers.info/gdp/botswana-gdp/" TargetMode="External"/><Relationship Id="rId144" Type="http://schemas.openxmlformats.org/officeDocument/2006/relationships/hyperlink" Target="https://www.worldometers.info/gdp/tajikistan-gdp/" TargetMode="External"/><Relationship Id="rId90" Type="http://schemas.openxmlformats.org/officeDocument/2006/relationships/hyperlink" Target="https://www.worldometers.info/gdp/uganda-gdp/" TargetMode="External"/><Relationship Id="rId165" Type="http://schemas.openxmlformats.org/officeDocument/2006/relationships/hyperlink" Target="https://www.worldometers.info/gdp/timor-leste-gdp/" TargetMode="External"/><Relationship Id="rId27" Type="http://schemas.openxmlformats.org/officeDocument/2006/relationships/hyperlink" Target="https://www.worldometers.info/gdp/united-arab-emirates-gdp/" TargetMode="External"/><Relationship Id="rId48" Type="http://schemas.openxmlformats.org/officeDocument/2006/relationships/hyperlink" Target="https://www.worldometers.info/gdp/portugal-gdp/" TargetMode="External"/><Relationship Id="rId69" Type="http://schemas.openxmlformats.org/officeDocument/2006/relationships/hyperlink" Target="https://www.worldometers.info/gdp/uzbekistan-gdp/" TargetMode="External"/><Relationship Id="rId113" Type="http://schemas.openxmlformats.org/officeDocument/2006/relationships/hyperlink" Target="https://www.worldometers.info/gdp/albania-gdp/" TargetMode="External"/><Relationship Id="rId134" Type="http://schemas.openxmlformats.org/officeDocument/2006/relationships/hyperlink" Target="https://www.worldometers.info/gdp/congo-gdp/" TargetMode="External"/><Relationship Id="rId80" Type="http://schemas.openxmlformats.org/officeDocument/2006/relationships/hyperlink" Target="https://www.worldometers.info/gdp/uruguay-gdp/" TargetMode="External"/><Relationship Id="rId155" Type="http://schemas.openxmlformats.org/officeDocument/2006/relationships/hyperlink" Target="https://www.worldometers.info/gdp/aruba-gdp/" TargetMode="External"/><Relationship Id="rId176" Type="http://schemas.openxmlformats.org/officeDocument/2006/relationships/hyperlink" Target="https://www.worldometers.info/gdp/dominica-gdp/" TargetMode="External"/><Relationship Id="rId17" Type="http://schemas.openxmlformats.org/officeDocument/2006/relationships/hyperlink" Target="https://www.worldometers.info/gdp/netherlands-gdp/" TargetMode="External"/><Relationship Id="rId38" Type="http://schemas.openxmlformats.org/officeDocument/2006/relationships/hyperlink" Target="https://www.worldometers.info/gdp/egypt-gdp/" TargetMode="External"/><Relationship Id="rId59" Type="http://schemas.openxmlformats.org/officeDocument/2006/relationships/hyperlink" Target="https://www.worldometers.info/gdp/ethiopia-gdp/" TargetMode="External"/><Relationship Id="rId103" Type="http://schemas.openxmlformats.org/officeDocument/2006/relationships/hyperlink" Target="https://www.worldometers.info/gdp/el-salvador-gdp/" TargetMode="External"/><Relationship Id="rId124" Type="http://schemas.openxmlformats.org/officeDocument/2006/relationships/hyperlink" Target="https://www.worldometers.info/gdp/gabon-gdp/" TargetMode="External"/><Relationship Id="rId70" Type="http://schemas.openxmlformats.org/officeDocument/2006/relationships/hyperlink" Target="https://www.worldometers.info/gdp/costa-rica-gdp/" TargetMode="External"/><Relationship Id="rId91" Type="http://schemas.openxmlformats.org/officeDocument/2006/relationships/hyperlink" Target="https://www.worldometers.info/gdp/tunisia-gdp/" TargetMode="External"/><Relationship Id="rId145" Type="http://schemas.openxmlformats.org/officeDocument/2006/relationships/hyperlink" Target="https://www.worldometers.info/gdp/mauritania-gdp/" TargetMode="External"/><Relationship Id="rId166" Type="http://schemas.openxmlformats.org/officeDocument/2006/relationships/hyperlink" Target="https://www.worldometers.info/gdp/guinea-bissau-gdp/" TargetMode="External"/><Relationship Id="rId1" Type="http://schemas.openxmlformats.org/officeDocument/2006/relationships/hyperlink" Target="https://www.worldometers.info/gdp/us-gdp/" TargetMode="External"/><Relationship Id="rId28" Type="http://schemas.openxmlformats.org/officeDocument/2006/relationships/hyperlink" Target="https://www.worldometers.info/gdp/israel-gdp/" TargetMode="External"/><Relationship Id="rId49" Type="http://schemas.openxmlformats.org/officeDocument/2006/relationships/hyperlink" Target="https://www.worldometers.info/gdp/peru-gdp/" TargetMode="External"/><Relationship Id="rId114" Type="http://schemas.openxmlformats.org/officeDocument/2006/relationships/hyperlink" Target="https://www.worldometers.info/gdp/malta-gdp/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orldometers.info/gdp/uzbekistan-gdp/" TargetMode="External"/><Relationship Id="rId21" Type="http://schemas.openxmlformats.org/officeDocument/2006/relationships/hyperlink" Target="https://www.worldometers.info/gdp/bahrain-gdp/" TargetMode="External"/><Relationship Id="rId42" Type="http://schemas.openxmlformats.org/officeDocument/2006/relationships/hyperlink" Target="https://www.worldometers.info/gdp/poland-gdp/" TargetMode="External"/><Relationship Id="rId63" Type="http://schemas.openxmlformats.org/officeDocument/2006/relationships/hyperlink" Target="https://www.worldometers.info/gdp/antigua-and-barbuda-gdp/" TargetMode="External"/><Relationship Id="rId84" Type="http://schemas.openxmlformats.org/officeDocument/2006/relationships/hyperlink" Target="https://www.worldometers.info/gdp/brazil-gdp/" TargetMode="External"/><Relationship Id="rId138" Type="http://schemas.openxmlformats.org/officeDocument/2006/relationships/hyperlink" Target="https://www.worldometers.info/gdp/nigeria-gdp/" TargetMode="External"/><Relationship Id="rId159" Type="http://schemas.openxmlformats.org/officeDocument/2006/relationships/hyperlink" Target="https://www.worldometers.info/gdp/rwanda-gdp/" TargetMode="External"/><Relationship Id="rId170" Type="http://schemas.openxmlformats.org/officeDocument/2006/relationships/hyperlink" Target="https://www.worldometers.info/gdp/sudan-gdp/" TargetMode="External"/><Relationship Id="rId107" Type="http://schemas.openxmlformats.org/officeDocument/2006/relationships/hyperlink" Target="https://www.worldometers.info/gdp/sri-lanka-gdp/" TargetMode="External"/><Relationship Id="rId11" Type="http://schemas.openxmlformats.org/officeDocument/2006/relationships/hyperlink" Target="https://www.worldometers.info/gdp/iceland-gdp/" TargetMode="External"/><Relationship Id="rId32" Type="http://schemas.openxmlformats.org/officeDocument/2006/relationships/hyperlink" Target="https://www.worldometers.info/gdp/slovenia-gdp/" TargetMode="External"/><Relationship Id="rId53" Type="http://schemas.openxmlformats.org/officeDocument/2006/relationships/hyperlink" Target="https://www.worldometers.info/gdp/panama-gdp/" TargetMode="External"/><Relationship Id="rId74" Type="http://schemas.openxmlformats.org/officeDocument/2006/relationships/hyperlink" Target="https://www.worldometers.info/gdp/maldives-gdp/" TargetMode="External"/><Relationship Id="rId128" Type="http://schemas.openxmlformats.org/officeDocument/2006/relationships/hyperlink" Target="https://www.worldometers.info/gdp/ghana-gdp/" TargetMode="External"/><Relationship Id="rId149" Type="http://schemas.openxmlformats.org/officeDocument/2006/relationships/hyperlink" Target="https://www.worldometers.info/gdp/papua-new-guinea-gdp/" TargetMode="External"/><Relationship Id="rId5" Type="http://schemas.openxmlformats.org/officeDocument/2006/relationships/hyperlink" Target="https://www.worldometers.info/gdp/china-macao-sar-gdp/" TargetMode="External"/><Relationship Id="rId95" Type="http://schemas.openxmlformats.org/officeDocument/2006/relationships/hyperlink" Target="https://www.worldometers.info/gdp/ukraine-gdp/" TargetMode="External"/><Relationship Id="rId160" Type="http://schemas.openxmlformats.org/officeDocument/2006/relationships/hyperlink" Target="https://www.worldometers.info/gdp/sierra-leone-gdp/" TargetMode="External"/><Relationship Id="rId181" Type="http://schemas.openxmlformats.org/officeDocument/2006/relationships/hyperlink" Target="https://www.worldometers.info/gdp/burundi-gdp/" TargetMode="External"/><Relationship Id="rId22" Type="http://schemas.openxmlformats.org/officeDocument/2006/relationships/hyperlink" Target="https://www.worldometers.info/gdp/canada-gdp/" TargetMode="External"/><Relationship Id="rId43" Type="http://schemas.openxmlformats.org/officeDocument/2006/relationships/hyperlink" Target="https://www.worldometers.info/gdp/romania-gdp/" TargetMode="External"/><Relationship Id="rId64" Type="http://schemas.openxmlformats.org/officeDocument/2006/relationships/hyperlink" Target="https://www.worldometers.info/gdp/montenegro-gdp/" TargetMode="External"/><Relationship Id="rId118" Type="http://schemas.openxmlformats.org/officeDocument/2006/relationships/hyperlink" Target="https://www.worldometers.info/gdp/philippines-gdp/" TargetMode="External"/><Relationship Id="rId139" Type="http://schemas.openxmlformats.org/officeDocument/2006/relationships/hyperlink" Target="https://www.worldometers.info/gdp/tuvalu-gdp/" TargetMode="External"/><Relationship Id="rId85" Type="http://schemas.openxmlformats.org/officeDocument/2006/relationships/hyperlink" Target="https://www.worldometers.info/gdp/botswana-gdp/" TargetMode="External"/><Relationship Id="rId150" Type="http://schemas.openxmlformats.org/officeDocument/2006/relationships/hyperlink" Target="https://www.worldometers.info/gdp/guinea-gdp/" TargetMode="External"/><Relationship Id="rId171" Type="http://schemas.openxmlformats.org/officeDocument/2006/relationships/hyperlink" Target="https://www.worldometers.info/gdp/mali-gdp/" TargetMode="External"/><Relationship Id="rId12" Type="http://schemas.openxmlformats.org/officeDocument/2006/relationships/hyperlink" Target="https://www.worldometers.info/gdp/united-arab-emirates-gdp/" TargetMode="External"/><Relationship Id="rId33" Type="http://schemas.openxmlformats.org/officeDocument/2006/relationships/hyperlink" Target="https://www.worldometers.info/gdp/new-zealand-gdp/" TargetMode="External"/><Relationship Id="rId108" Type="http://schemas.openxmlformats.org/officeDocument/2006/relationships/hyperlink" Target="https://www.worldometers.info/gdp/iraq-gdp/" TargetMode="External"/><Relationship Id="rId129" Type="http://schemas.openxmlformats.org/officeDocument/2006/relationships/hyperlink" Target="https://www.worldometers.info/gdp/marshall-islands-gdp/" TargetMode="External"/><Relationship Id="rId54" Type="http://schemas.openxmlformats.org/officeDocument/2006/relationships/hyperlink" Target="https://www.worldometers.info/gdp/kazakhstan-gdp/" TargetMode="External"/><Relationship Id="rId75" Type="http://schemas.openxmlformats.org/officeDocument/2006/relationships/hyperlink" Target="https://www.worldometers.info/gdp/china-gdp/" TargetMode="External"/><Relationship Id="rId96" Type="http://schemas.openxmlformats.org/officeDocument/2006/relationships/hyperlink" Target="https://www.worldometers.info/gdp/moldova-gdp/" TargetMode="External"/><Relationship Id="rId140" Type="http://schemas.openxmlformats.org/officeDocument/2006/relationships/hyperlink" Target="https://www.worldometers.info/gdp/sao-tome-and-principe-gdp/" TargetMode="External"/><Relationship Id="rId161" Type="http://schemas.openxmlformats.org/officeDocument/2006/relationships/hyperlink" Target="https://www.worldometers.info/gdp/haiti-gdp/" TargetMode="External"/><Relationship Id="rId6" Type="http://schemas.openxmlformats.org/officeDocument/2006/relationships/hyperlink" Target="https://www.worldometers.info/gdp/norway-gdp/" TargetMode="External"/><Relationship Id="rId23" Type="http://schemas.openxmlformats.org/officeDocument/2006/relationships/hyperlink" Target="https://www.worldometers.info/gdp/malta-gdp/" TargetMode="External"/><Relationship Id="rId119" Type="http://schemas.openxmlformats.org/officeDocument/2006/relationships/hyperlink" Target="https://www.worldometers.info/gdp/bolivia-gdp/" TargetMode="External"/><Relationship Id="rId44" Type="http://schemas.openxmlformats.org/officeDocument/2006/relationships/hyperlink" Target="https://www.worldometers.info/gdp/croatia-gdp/" TargetMode="External"/><Relationship Id="rId60" Type="http://schemas.openxmlformats.org/officeDocument/2006/relationships/hyperlink" Target="https://www.worldometers.info/gdp/saint-kitts-and-nevis-gdp/" TargetMode="External"/><Relationship Id="rId65" Type="http://schemas.openxmlformats.org/officeDocument/2006/relationships/hyperlink" Target="https://www.worldometers.info/gdp/belarus-gdp/" TargetMode="External"/><Relationship Id="rId81" Type="http://schemas.openxmlformats.org/officeDocument/2006/relationships/hyperlink" Target="https://www.worldometers.info/gdp/barbados-gdp/" TargetMode="External"/><Relationship Id="rId86" Type="http://schemas.openxmlformats.org/officeDocument/2006/relationships/hyperlink" Target="https://www.worldometers.info/gdp/gabon-gdp/" TargetMode="External"/><Relationship Id="rId130" Type="http://schemas.openxmlformats.org/officeDocument/2006/relationships/hyperlink" Target="https://www.worldometers.info/gdp/cambodia-gdp/" TargetMode="External"/><Relationship Id="rId135" Type="http://schemas.openxmlformats.org/officeDocument/2006/relationships/hyperlink" Target="https://www.worldometers.info/gdp/mauritania-gdp/" TargetMode="External"/><Relationship Id="rId151" Type="http://schemas.openxmlformats.org/officeDocument/2006/relationships/hyperlink" Target="https://www.worldometers.info/gdp/micronesia-gdp/" TargetMode="External"/><Relationship Id="rId156" Type="http://schemas.openxmlformats.org/officeDocument/2006/relationships/hyperlink" Target="https://www.worldometers.info/gdp/zimbabwe-gdp/" TargetMode="External"/><Relationship Id="rId177" Type="http://schemas.openxmlformats.org/officeDocument/2006/relationships/hyperlink" Target="https://www.worldometers.info/gdp/liberia-gdp/" TargetMode="External"/><Relationship Id="rId172" Type="http://schemas.openxmlformats.org/officeDocument/2006/relationships/hyperlink" Target="https://www.worldometers.info/gdp/afghanistan-gdp/" TargetMode="External"/><Relationship Id="rId13" Type="http://schemas.openxmlformats.org/officeDocument/2006/relationships/hyperlink" Target="https://www.worldometers.info/gdp/denmark-gdp/" TargetMode="External"/><Relationship Id="rId18" Type="http://schemas.openxmlformats.org/officeDocument/2006/relationships/hyperlink" Target="https://www.worldometers.info/gdp/germany-gdp/" TargetMode="External"/><Relationship Id="rId39" Type="http://schemas.openxmlformats.org/officeDocument/2006/relationships/hyperlink" Target="https://www.worldometers.info/gdp/japan-gdp/" TargetMode="External"/><Relationship Id="rId109" Type="http://schemas.openxmlformats.org/officeDocument/2006/relationships/hyperlink" Target="https://www.worldometers.info/gdp/tunisia-gdp/" TargetMode="External"/><Relationship Id="rId34" Type="http://schemas.openxmlformats.org/officeDocument/2006/relationships/hyperlink" Target="https://www.worldometers.info/gdp/spain-gdp/" TargetMode="External"/><Relationship Id="rId50" Type="http://schemas.openxmlformats.org/officeDocument/2006/relationships/hyperlink" Target="https://www.worldometers.info/gdp/turkey-gdp/" TargetMode="External"/><Relationship Id="rId55" Type="http://schemas.openxmlformats.org/officeDocument/2006/relationships/hyperlink" Target="https://www.worldometers.info/gdp/bulgaria-gdp/" TargetMode="External"/><Relationship Id="rId76" Type="http://schemas.openxmlformats.org/officeDocument/2006/relationships/hyperlink" Target="https://www.worldometers.info/gdp/north-macedonia-gdp/" TargetMode="External"/><Relationship Id="rId97" Type="http://schemas.openxmlformats.org/officeDocument/2006/relationships/hyperlink" Target="https://www.worldometers.info/gdp/palau-gdp/" TargetMode="External"/><Relationship Id="rId104" Type="http://schemas.openxmlformats.org/officeDocument/2006/relationships/hyperlink" Target="https://www.worldometers.info/gdp/south-africa-gdp/" TargetMode="External"/><Relationship Id="rId120" Type="http://schemas.openxmlformats.org/officeDocument/2006/relationships/hyperlink" Target="https://www.worldometers.info/gdp/jordan-gdp/" TargetMode="External"/><Relationship Id="rId125" Type="http://schemas.openxmlformats.org/officeDocument/2006/relationships/hyperlink" Target="https://www.worldometers.info/gdp/bangladesh-gdp/" TargetMode="External"/><Relationship Id="rId141" Type="http://schemas.openxmlformats.org/officeDocument/2006/relationships/hyperlink" Target="https://www.worldometers.info/gdp/pakistan-gdp/" TargetMode="External"/><Relationship Id="rId146" Type="http://schemas.openxmlformats.org/officeDocument/2006/relationships/hyperlink" Target="https://www.worldometers.info/gdp/tajikistan-gdp/" TargetMode="External"/><Relationship Id="rId167" Type="http://schemas.openxmlformats.org/officeDocument/2006/relationships/hyperlink" Target="https://www.worldometers.info/gdp/guinea-bissau-gdp/" TargetMode="External"/><Relationship Id="rId7" Type="http://schemas.openxmlformats.org/officeDocument/2006/relationships/hyperlink" Target="https://www.worldometers.info/gdp/switzerland-gdp/" TargetMode="External"/><Relationship Id="rId71" Type="http://schemas.openxmlformats.org/officeDocument/2006/relationships/hyperlink" Target="https://www.worldometers.info/gdp/dominican-republic-gdp/" TargetMode="External"/><Relationship Id="rId92" Type="http://schemas.openxmlformats.org/officeDocument/2006/relationships/hyperlink" Target="https://www.worldometers.info/gdp/egypt-gdp/" TargetMode="External"/><Relationship Id="rId162" Type="http://schemas.openxmlformats.org/officeDocument/2006/relationships/hyperlink" Target="https://www.worldometers.info/gdp/gambia-gdp/" TargetMode="External"/><Relationship Id="rId2" Type="http://schemas.openxmlformats.org/officeDocument/2006/relationships/hyperlink" Target="https://www.worldometers.info/gdp/luxembourg-gdp/" TargetMode="External"/><Relationship Id="rId29" Type="http://schemas.openxmlformats.org/officeDocument/2006/relationships/hyperlink" Target="https://www.worldometers.info/gdp/cyprus-gdp/" TargetMode="External"/><Relationship Id="rId24" Type="http://schemas.openxmlformats.org/officeDocument/2006/relationships/hyperlink" Target="https://www.worldometers.info/gdp/finland-gdp/" TargetMode="External"/><Relationship Id="rId40" Type="http://schemas.openxmlformats.org/officeDocument/2006/relationships/hyperlink" Target="https://www.worldometers.info/gdp/portugal-gdp/" TargetMode="External"/><Relationship Id="rId45" Type="http://schemas.openxmlformats.org/officeDocument/2006/relationships/hyperlink" Target="https://www.worldometers.info/gdp/aruba-gdp/" TargetMode="External"/><Relationship Id="rId66" Type="http://schemas.openxmlformats.org/officeDocument/2006/relationships/hyperlink" Target="https://www.worldometers.info/gdp/argentina-gdp/" TargetMode="External"/><Relationship Id="rId87" Type="http://schemas.openxmlformats.org/officeDocument/2006/relationships/hyperlink" Target="https://www.worldometers.info/gdp/colombia-gdp/" TargetMode="External"/><Relationship Id="rId110" Type="http://schemas.openxmlformats.org/officeDocument/2006/relationships/hyperlink" Target="https://www.worldometers.info/gdp/libya-gdp/" TargetMode="External"/><Relationship Id="rId115" Type="http://schemas.openxmlformats.org/officeDocument/2006/relationships/hyperlink" Target="https://www.worldometers.info/gdp/swaziland-gdp/" TargetMode="External"/><Relationship Id="rId131" Type="http://schemas.openxmlformats.org/officeDocument/2006/relationships/hyperlink" Target="https://www.worldometers.info/gdp/cote-d-ivoire-gdp/" TargetMode="External"/><Relationship Id="rId136" Type="http://schemas.openxmlformats.org/officeDocument/2006/relationships/hyperlink" Target="https://www.worldometers.info/gdp/congo-gdp/" TargetMode="External"/><Relationship Id="rId157" Type="http://schemas.openxmlformats.org/officeDocument/2006/relationships/hyperlink" Target="https://www.worldometers.info/gdp/kiribati-gdp/" TargetMode="External"/><Relationship Id="rId178" Type="http://schemas.openxmlformats.org/officeDocument/2006/relationships/hyperlink" Target="https://www.worldometers.info/gdp/mozambique-gdp/" TargetMode="External"/><Relationship Id="rId61" Type="http://schemas.openxmlformats.org/officeDocument/2006/relationships/hyperlink" Target="https://www.worldometers.info/gdp/chile-gdp/" TargetMode="External"/><Relationship Id="rId82" Type="http://schemas.openxmlformats.org/officeDocument/2006/relationships/hyperlink" Target="https://www.worldometers.info/gdp/albania-gdp/" TargetMode="External"/><Relationship Id="rId152" Type="http://schemas.openxmlformats.org/officeDocument/2006/relationships/hyperlink" Target="https://www.worldometers.info/gdp/benin-gdp/" TargetMode="External"/><Relationship Id="rId173" Type="http://schemas.openxmlformats.org/officeDocument/2006/relationships/hyperlink" Target="https://www.worldometers.info/gdp/niger-gdp/" TargetMode="External"/><Relationship Id="rId19" Type="http://schemas.openxmlformats.org/officeDocument/2006/relationships/hyperlink" Target="https://www.worldometers.info/gdp/belgium-gdp/" TargetMode="External"/><Relationship Id="rId14" Type="http://schemas.openxmlformats.org/officeDocument/2006/relationships/hyperlink" Target="https://www.worldometers.info/gdp/andorra-gdp/" TargetMode="External"/><Relationship Id="rId30" Type="http://schemas.openxmlformats.org/officeDocument/2006/relationships/hyperlink" Target="https://www.worldometers.info/gdp/guyana-gdp/" TargetMode="External"/><Relationship Id="rId35" Type="http://schemas.openxmlformats.org/officeDocument/2006/relationships/hyperlink" Target="https://www.worldometers.info/gdp/czechia-gdp/" TargetMode="External"/><Relationship Id="rId56" Type="http://schemas.openxmlformats.org/officeDocument/2006/relationships/hyperlink" Target="https://www.worldometers.info/gdp/bahamas-gdp/" TargetMode="External"/><Relationship Id="rId77" Type="http://schemas.openxmlformats.org/officeDocument/2006/relationships/hyperlink" Target="https://www.worldometers.info/gdp/azerbaijan-gdp/" TargetMode="External"/><Relationship Id="rId100" Type="http://schemas.openxmlformats.org/officeDocument/2006/relationships/hyperlink" Target="https://www.worldometers.info/gdp/peru-gdp/" TargetMode="External"/><Relationship Id="rId105" Type="http://schemas.openxmlformats.org/officeDocument/2006/relationships/hyperlink" Target="https://www.worldometers.info/gdp/fiji-gdp/" TargetMode="External"/><Relationship Id="rId126" Type="http://schemas.openxmlformats.org/officeDocument/2006/relationships/hyperlink" Target="https://www.worldometers.info/gdp/nicaragua-gdp/" TargetMode="External"/><Relationship Id="rId147" Type="http://schemas.openxmlformats.org/officeDocument/2006/relationships/hyperlink" Target="https://www.worldometers.info/gdp/timor-leste-gdp/" TargetMode="External"/><Relationship Id="rId168" Type="http://schemas.openxmlformats.org/officeDocument/2006/relationships/hyperlink" Target="https://www.worldometers.info/gdp/solomon-islands-gdp/" TargetMode="External"/><Relationship Id="rId8" Type="http://schemas.openxmlformats.org/officeDocument/2006/relationships/hyperlink" Target="https://www.worldometers.info/gdp/brunei-darussalam-gdp/" TargetMode="External"/><Relationship Id="rId51" Type="http://schemas.openxmlformats.org/officeDocument/2006/relationships/hyperlink" Target="https://www.worldometers.info/gdp/latvia-gdp/" TargetMode="External"/><Relationship Id="rId72" Type="http://schemas.openxmlformats.org/officeDocument/2006/relationships/hyperlink" Target="https://www.worldometers.info/gdp/georgia-gdp/" TargetMode="External"/><Relationship Id="rId93" Type="http://schemas.openxmlformats.org/officeDocument/2006/relationships/hyperlink" Target="https://www.worldometers.info/gdp/mongolia-gdp/" TargetMode="External"/><Relationship Id="rId98" Type="http://schemas.openxmlformats.org/officeDocument/2006/relationships/hyperlink" Target="https://www.worldometers.info/gdp/paraguay-gdp/" TargetMode="External"/><Relationship Id="rId121" Type="http://schemas.openxmlformats.org/officeDocument/2006/relationships/hyperlink" Target="https://www.worldometers.info/gdp/cabo-verde-gdp/" TargetMode="External"/><Relationship Id="rId142" Type="http://schemas.openxmlformats.org/officeDocument/2006/relationships/hyperlink" Target="https://www.worldometers.info/gdp/myanmar-gdp/" TargetMode="External"/><Relationship Id="rId163" Type="http://schemas.openxmlformats.org/officeDocument/2006/relationships/hyperlink" Target="https://www.worldometers.info/gdp/uganda-gdp/" TargetMode="External"/><Relationship Id="rId3" Type="http://schemas.openxmlformats.org/officeDocument/2006/relationships/hyperlink" Target="https://www.worldometers.info/gdp/qatar-gdp/" TargetMode="External"/><Relationship Id="rId25" Type="http://schemas.openxmlformats.org/officeDocument/2006/relationships/hyperlink" Target="https://www.worldometers.info/gdp/saudi-arabia-gdp/" TargetMode="External"/><Relationship Id="rId46" Type="http://schemas.openxmlformats.org/officeDocument/2006/relationships/hyperlink" Target="https://www.worldometers.info/gdp/hungary-gdp/" TargetMode="External"/><Relationship Id="rId67" Type="http://schemas.openxmlformats.org/officeDocument/2006/relationships/hyperlink" Target="https://www.worldometers.info/gdp/mauritius-gdp/" TargetMode="External"/><Relationship Id="rId116" Type="http://schemas.openxmlformats.org/officeDocument/2006/relationships/hyperlink" Target="https://www.worldometers.info/gdp/namibia-gdp/" TargetMode="External"/><Relationship Id="rId137" Type="http://schemas.openxmlformats.org/officeDocument/2006/relationships/hyperlink" Target="https://www.worldometers.info/gdp/kenya-gdp/" TargetMode="External"/><Relationship Id="rId158" Type="http://schemas.openxmlformats.org/officeDocument/2006/relationships/hyperlink" Target="https://www.worldometers.info/gdp/vanuatu-gdp/" TargetMode="External"/><Relationship Id="rId20" Type="http://schemas.openxmlformats.org/officeDocument/2006/relationships/hyperlink" Target="https://www.worldometers.info/gdp/sweden-gdp/" TargetMode="External"/><Relationship Id="rId41" Type="http://schemas.openxmlformats.org/officeDocument/2006/relationships/hyperlink" Target="https://www.worldometers.info/gdp/estonia-gdp/" TargetMode="External"/><Relationship Id="rId62" Type="http://schemas.openxmlformats.org/officeDocument/2006/relationships/hyperlink" Target="https://www.worldometers.info/gdp/seychelles-gdp/" TargetMode="External"/><Relationship Id="rId83" Type="http://schemas.openxmlformats.org/officeDocument/2006/relationships/hyperlink" Target="https://www.worldometers.info/gdp/suriname-gdp/" TargetMode="External"/><Relationship Id="rId88" Type="http://schemas.openxmlformats.org/officeDocument/2006/relationships/hyperlink" Target="https://www.worldometers.info/gdp/saint-vincent-and-the-grenadines-gdp/" TargetMode="External"/><Relationship Id="rId111" Type="http://schemas.openxmlformats.org/officeDocument/2006/relationships/hyperlink" Target="https://www.worldometers.info/gdp/belize-gdp/" TargetMode="External"/><Relationship Id="rId132" Type="http://schemas.openxmlformats.org/officeDocument/2006/relationships/hyperlink" Target="https://www.worldometers.info/gdp/honduras-gdp/" TargetMode="External"/><Relationship Id="rId153" Type="http://schemas.openxmlformats.org/officeDocument/2006/relationships/hyperlink" Target="https://www.worldometers.info/gdp/zambia-gdp/" TargetMode="External"/><Relationship Id="rId174" Type="http://schemas.openxmlformats.org/officeDocument/2006/relationships/hyperlink" Target="https://www.worldometers.info/gdp/chad-gdp/" TargetMode="External"/><Relationship Id="rId179" Type="http://schemas.openxmlformats.org/officeDocument/2006/relationships/hyperlink" Target="https://www.worldometers.info/gdp/democratic-republic-of-the-congo-gdp/" TargetMode="External"/><Relationship Id="rId15" Type="http://schemas.openxmlformats.org/officeDocument/2006/relationships/hyperlink" Target="https://www.worldometers.info/gdp/china-hong-kong-sar-gdp/" TargetMode="External"/><Relationship Id="rId36" Type="http://schemas.openxmlformats.org/officeDocument/2006/relationships/hyperlink" Target="https://www.worldometers.info/gdp/south-korea-gdp/" TargetMode="External"/><Relationship Id="rId57" Type="http://schemas.openxmlformats.org/officeDocument/2006/relationships/hyperlink" Target="https://www.worldometers.info/gdp/malaysia-gdp/" TargetMode="External"/><Relationship Id="rId106" Type="http://schemas.openxmlformats.org/officeDocument/2006/relationships/hyperlink" Target="https://www.worldometers.info/gdp/vietnam-gdp/" TargetMode="External"/><Relationship Id="rId127" Type="http://schemas.openxmlformats.org/officeDocument/2006/relationships/hyperlink" Target="https://www.worldometers.info/gdp/angola-gdp/" TargetMode="External"/><Relationship Id="rId10" Type="http://schemas.openxmlformats.org/officeDocument/2006/relationships/hyperlink" Target="https://www.worldometers.info/gdp/netherlands-gdp/" TargetMode="External"/><Relationship Id="rId31" Type="http://schemas.openxmlformats.org/officeDocument/2006/relationships/hyperlink" Target="https://www.worldometers.info/gdp/israel-gdp/" TargetMode="External"/><Relationship Id="rId52" Type="http://schemas.openxmlformats.org/officeDocument/2006/relationships/hyperlink" Target="https://www.worldometers.info/gdp/greece-gdp/" TargetMode="External"/><Relationship Id="rId73" Type="http://schemas.openxmlformats.org/officeDocument/2006/relationships/hyperlink" Target="https://www.worldometers.info/gdp/mexico-gdp/" TargetMode="External"/><Relationship Id="rId78" Type="http://schemas.openxmlformats.org/officeDocument/2006/relationships/hyperlink" Target="https://www.worldometers.info/gdp/thailand-gdp/" TargetMode="External"/><Relationship Id="rId94" Type="http://schemas.openxmlformats.org/officeDocument/2006/relationships/hyperlink" Target="https://www.worldometers.info/gdp/iran-gdp/" TargetMode="External"/><Relationship Id="rId99" Type="http://schemas.openxmlformats.org/officeDocument/2006/relationships/hyperlink" Target="https://www.worldometers.info/gdp/equatorial-guinea-gdp/" TargetMode="External"/><Relationship Id="rId101" Type="http://schemas.openxmlformats.org/officeDocument/2006/relationships/hyperlink" Target="https://www.worldometers.info/gdp/algeria-gdp/" TargetMode="External"/><Relationship Id="rId122" Type="http://schemas.openxmlformats.org/officeDocument/2006/relationships/hyperlink" Target="https://www.worldometers.info/gdp/india-gdp/" TargetMode="External"/><Relationship Id="rId143" Type="http://schemas.openxmlformats.org/officeDocument/2006/relationships/hyperlink" Target="https://www.worldometers.info/gdp/state-of-palestine-gdp/" TargetMode="External"/><Relationship Id="rId148" Type="http://schemas.openxmlformats.org/officeDocument/2006/relationships/hyperlink" Target="https://www.worldometers.info/gdp/senegal-gdp/" TargetMode="External"/><Relationship Id="rId164" Type="http://schemas.openxmlformats.org/officeDocument/2006/relationships/hyperlink" Target="https://www.worldometers.info/gdp/togo-gdp/" TargetMode="External"/><Relationship Id="rId169" Type="http://schemas.openxmlformats.org/officeDocument/2006/relationships/hyperlink" Target="https://www.worldometers.info/gdp/burkina-faso-gdp/" TargetMode="External"/><Relationship Id="rId4" Type="http://schemas.openxmlformats.org/officeDocument/2006/relationships/hyperlink" Target="https://www.worldometers.info/gdp/ireland-gdp/" TargetMode="External"/><Relationship Id="rId9" Type="http://schemas.openxmlformats.org/officeDocument/2006/relationships/hyperlink" Target="https://www.worldometers.info/gdp/us-gdp/" TargetMode="External"/><Relationship Id="rId180" Type="http://schemas.openxmlformats.org/officeDocument/2006/relationships/hyperlink" Target="https://www.worldometers.info/gdp/central-african-republic-gdp/" TargetMode="External"/><Relationship Id="rId26" Type="http://schemas.openxmlformats.org/officeDocument/2006/relationships/hyperlink" Target="https://www.worldometers.info/gdp/uk-gdp/" TargetMode="External"/><Relationship Id="rId47" Type="http://schemas.openxmlformats.org/officeDocument/2006/relationships/hyperlink" Target="https://www.worldometers.info/gdp/russia-gdp/" TargetMode="External"/><Relationship Id="rId68" Type="http://schemas.openxmlformats.org/officeDocument/2006/relationships/hyperlink" Target="https://www.worldometers.info/gdp/serbia-gdp/" TargetMode="External"/><Relationship Id="rId89" Type="http://schemas.openxmlformats.org/officeDocument/2006/relationships/hyperlink" Target="https://www.worldometers.info/gdp/turkmenistan-gdp/" TargetMode="External"/><Relationship Id="rId112" Type="http://schemas.openxmlformats.org/officeDocument/2006/relationships/hyperlink" Target="https://www.worldometers.info/gdp/guatemala-gdp/" TargetMode="External"/><Relationship Id="rId133" Type="http://schemas.openxmlformats.org/officeDocument/2006/relationships/hyperlink" Target="https://www.worldometers.info/gdp/kyrgyzstan-gdp/" TargetMode="External"/><Relationship Id="rId154" Type="http://schemas.openxmlformats.org/officeDocument/2006/relationships/hyperlink" Target="https://www.worldometers.info/gdp/tanzania-gdp/" TargetMode="External"/><Relationship Id="rId175" Type="http://schemas.openxmlformats.org/officeDocument/2006/relationships/hyperlink" Target="https://www.worldometers.info/gdp/malawi-gdp/" TargetMode="External"/><Relationship Id="rId16" Type="http://schemas.openxmlformats.org/officeDocument/2006/relationships/hyperlink" Target="https://www.worldometers.info/gdp/australia-gdp/" TargetMode="External"/><Relationship Id="rId37" Type="http://schemas.openxmlformats.org/officeDocument/2006/relationships/hyperlink" Target="https://www.worldometers.info/gdp/kuwait-gdp/" TargetMode="External"/><Relationship Id="rId58" Type="http://schemas.openxmlformats.org/officeDocument/2006/relationships/hyperlink" Target="https://www.worldometers.info/gdp/trinidad-and-tobago-gdp/" TargetMode="External"/><Relationship Id="rId79" Type="http://schemas.openxmlformats.org/officeDocument/2006/relationships/hyperlink" Target="https://www.worldometers.info/gdp/bosnia-and-herzegovina-gdp/" TargetMode="External"/><Relationship Id="rId102" Type="http://schemas.openxmlformats.org/officeDocument/2006/relationships/hyperlink" Target="https://www.worldometers.info/gdp/ecuador-gdp/" TargetMode="External"/><Relationship Id="rId123" Type="http://schemas.openxmlformats.org/officeDocument/2006/relationships/hyperlink" Target="https://www.worldometers.info/gdp/morocco-gdp/" TargetMode="External"/><Relationship Id="rId144" Type="http://schemas.openxmlformats.org/officeDocument/2006/relationships/hyperlink" Target="https://www.worldometers.info/gdp/cameroon-gdp/" TargetMode="External"/><Relationship Id="rId90" Type="http://schemas.openxmlformats.org/officeDocument/2006/relationships/hyperlink" Target="https://www.worldometers.info/gdp/dominica-gdp/" TargetMode="External"/><Relationship Id="rId165" Type="http://schemas.openxmlformats.org/officeDocument/2006/relationships/hyperlink" Target="https://www.worldometers.info/gdp/ethiopia-gdp/" TargetMode="External"/><Relationship Id="rId27" Type="http://schemas.openxmlformats.org/officeDocument/2006/relationships/hyperlink" Target="https://www.worldometers.info/gdp/france-gdp/" TargetMode="External"/><Relationship Id="rId48" Type="http://schemas.openxmlformats.org/officeDocument/2006/relationships/hyperlink" Target="https://www.worldometers.info/gdp/slovakia-gdp/" TargetMode="External"/><Relationship Id="rId69" Type="http://schemas.openxmlformats.org/officeDocument/2006/relationships/hyperlink" Target="https://www.worldometers.info/gdp/costa-rica-gdp/" TargetMode="External"/><Relationship Id="rId113" Type="http://schemas.openxmlformats.org/officeDocument/2006/relationships/hyperlink" Target="https://www.worldometers.info/gdp/el-salvador-gdp/" TargetMode="External"/><Relationship Id="rId134" Type="http://schemas.openxmlformats.org/officeDocument/2006/relationships/hyperlink" Target="https://www.worldometers.info/gdp/samoa-gdp/" TargetMode="External"/><Relationship Id="rId80" Type="http://schemas.openxmlformats.org/officeDocument/2006/relationships/hyperlink" Target="https://www.worldometers.info/gdp/armenia-gdp/" TargetMode="External"/><Relationship Id="rId155" Type="http://schemas.openxmlformats.org/officeDocument/2006/relationships/hyperlink" Target="https://www.worldometers.info/gdp/comoros-gdp/" TargetMode="External"/><Relationship Id="rId176" Type="http://schemas.openxmlformats.org/officeDocument/2006/relationships/hyperlink" Target="https://www.worldometers.info/gdp/madagascar-gdp/" TargetMode="External"/><Relationship Id="rId17" Type="http://schemas.openxmlformats.org/officeDocument/2006/relationships/hyperlink" Target="https://www.worldometers.info/gdp/austria-gdp/" TargetMode="External"/><Relationship Id="rId38" Type="http://schemas.openxmlformats.org/officeDocument/2006/relationships/hyperlink" Target="https://www.worldometers.info/gdp/lithuania-gdp/" TargetMode="External"/><Relationship Id="rId59" Type="http://schemas.openxmlformats.org/officeDocument/2006/relationships/hyperlink" Target="https://www.worldometers.info/gdp/uruguay-gdp/" TargetMode="External"/><Relationship Id="rId103" Type="http://schemas.openxmlformats.org/officeDocument/2006/relationships/hyperlink" Target="https://www.worldometers.info/gdp/indonesia-gdp/" TargetMode="External"/><Relationship Id="rId124" Type="http://schemas.openxmlformats.org/officeDocument/2006/relationships/hyperlink" Target="https://www.worldometers.info/gdp/laos-gdp/" TargetMode="External"/><Relationship Id="rId70" Type="http://schemas.openxmlformats.org/officeDocument/2006/relationships/hyperlink" Target="https://www.worldometers.info/gdp/saint-lucia-gdp/" TargetMode="External"/><Relationship Id="rId91" Type="http://schemas.openxmlformats.org/officeDocument/2006/relationships/hyperlink" Target="https://www.worldometers.info/gdp/grenada-gdp/" TargetMode="External"/><Relationship Id="rId145" Type="http://schemas.openxmlformats.org/officeDocument/2006/relationships/hyperlink" Target="https://www.worldometers.info/gdp/nepal-gdp/" TargetMode="External"/><Relationship Id="rId166" Type="http://schemas.openxmlformats.org/officeDocument/2006/relationships/hyperlink" Target="https://www.worldometers.info/gdp/lesotho-gdp/" TargetMode="External"/><Relationship Id="rId1" Type="http://schemas.openxmlformats.org/officeDocument/2006/relationships/hyperlink" Target="https://www.worldometers.info/gdp/singapore-gdp/" TargetMode="External"/><Relationship Id="rId28" Type="http://schemas.openxmlformats.org/officeDocument/2006/relationships/hyperlink" Target="https://www.worldometers.info/gdp/italy-gdp/" TargetMode="External"/><Relationship Id="rId49" Type="http://schemas.openxmlformats.org/officeDocument/2006/relationships/hyperlink" Target="https://www.worldometers.info/gdp/oman-gdp/" TargetMode="External"/><Relationship Id="rId114" Type="http://schemas.openxmlformats.org/officeDocument/2006/relationships/hyperlink" Target="https://www.worldometers.info/gdp/jamaica-gdp/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worldpopulationreview.com/countries/gabon" TargetMode="External"/><Relationship Id="rId21" Type="http://schemas.openxmlformats.org/officeDocument/2006/relationships/hyperlink" Target="https://worldpopulationreview.com/countries/bhutan" TargetMode="External"/><Relationship Id="rId42" Type="http://schemas.openxmlformats.org/officeDocument/2006/relationships/hyperlink" Target="https://worldpopulationreview.com/countries/albania" TargetMode="External"/><Relationship Id="rId63" Type="http://schemas.openxmlformats.org/officeDocument/2006/relationships/hyperlink" Target="https://worldpopulationreview.com/countries/chile" TargetMode="External"/><Relationship Id="rId84" Type="http://schemas.openxmlformats.org/officeDocument/2006/relationships/hyperlink" Target="https://worldpopulationreview.com/countries/guinea-bissau" TargetMode="External"/><Relationship Id="rId138" Type="http://schemas.openxmlformats.org/officeDocument/2006/relationships/hyperlink" Target="https://worldpopulationreview.com/countries/turkey" TargetMode="External"/><Relationship Id="rId159" Type="http://schemas.openxmlformats.org/officeDocument/2006/relationships/hyperlink" Target="https://worldpopulationreview.com/countries/afghanistan" TargetMode="External"/><Relationship Id="rId107" Type="http://schemas.openxmlformats.org/officeDocument/2006/relationships/hyperlink" Target="https://worldpopulationreview.com/countries/el-salvador" TargetMode="External"/><Relationship Id="rId11" Type="http://schemas.openxmlformats.org/officeDocument/2006/relationships/hyperlink" Target="https://worldpopulationreview.com/countries/canada" TargetMode="External"/><Relationship Id="rId32" Type="http://schemas.openxmlformats.org/officeDocument/2006/relationships/hyperlink" Target="https://worldpopulationreview.com/countries/poland" TargetMode="External"/><Relationship Id="rId53" Type="http://schemas.openxmlformats.org/officeDocument/2006/relationships/hyperlink" Target="https://worldpopulationreview.com/countries/united-arab-emirates" TargetMode="External"/><Relationship Id="rId74" Type="http://schemas.openxmlformats.org/officeDocument/2006/relationships/hyperlink" Target="https://worldpopulationreview.com/countries/thailand" TargetMode="External"/><Relationship Id="rId128" Type="http://schemas.openxmlformats.org/officeDocument/2006/relationships/hyperlink" Target="https://worldpopulationreview.com/countries/burundi" TargetMode="External"/><Relationship Id="rId149" Type="http://schemas.openxmlformats.org/officeDocument/2006/relationships/hyperlink" Target="https://worldpopulationreview.com/countries/central-african-republic" TargetMode="External"/><Relationship Id="rId5" Type="http://schemas.openxmlformats.org/officeDocument/2006/relationships/hyperlink" Target="https://worldpopulationreview.com/countries/singapore" TargetMode="External"/><Relationship Id="rId95" Type="http://schemas.openxmlformats.org/officeDocument/2006/relationships/hyperlink" Target="https://worldpopulationreview.com/countries/panama" TargetMode="External"/><Relationship Id="rId160" Type="http://schemas.openxmlformats.org/officeDocument/2006/relationships/hyperlink" Target="https://worldpopulationreview.com/countries/south-sudan" TargetMode="External"/><Relationship Id="rId22" Type="http://schemas.openxmlformats.org/officeDocument/2006/relationships/hyperlink" Target="https://worldpopulationreview.com/countries/mauritius" TargetMode="External"/><Relationship Id="rId43" Type="http://schemas.openxmlformats.org/officeDocument/2006/relationships/hyperlink" Target="https://worldpopulationreview.com/countries/taiwan" TargetMode="External"/><Relationship Id="rId64" Type="http://schemas.openxmlformats.org/officeDocument/2006/relationships/hyperlink" Target="https://worldpopulationreview.com/countries/tanzania" TargetMode="External"/><Relationship Id="rId118" Type="http://schemas.openxmlformats.org/officeDocument/2006/relationships/hyperlink" Target="https://worldpopulationreview.com/countries/djibouti" TargetMode="External"/><Relationship Id="rId139" Type="http://schemas.openxmlformats.org/officeDocument/2006/relationships/hyperlink" Target="https://worldpopulationreview.com/countries/pakistan" TargetMode="External"/><Relationship Id="rId85" Type="http://schemas.openxmlformats.org/officeDocument/2006/relationships/hyperlink" Target="https://worldpopulationreview.com/countries/france" TargetMode="External"/><Relationship Id="rId150" Type="http://schemas.openxmlformats.org/officeDocument/2006/relationships/hyperlink" Target="https://worldpopulationreview.com/countries/iraq" TargetMode="External"/><Relationship Id="rId12" Type="http://schemas.openxmlformats.org/officeDocument/2006/relationships/hyperlink" Target="https://worldpopulationreview.com/countries/czech-republic" TargetMode="External"/><Relationship Id="rId17" Type="http://schemas.openxmlformats.org/officeDocument/2006/relationships/hyperlink" Target="https://worldpopulationreview.com/countries/japan" TargetMode="External"/><Relationship Id="rId33" Type="http://schemas.openxmlformats.org/officeDocument/2006/relationships/hyperlink" Target="https://worldpopulationreview.com/countries/italy" TargetMode="External"/><Relationship Id="rId38" Type="http://schemas.openxmlformats.org/officeDocument/2006/relationships/hyperlink" Target="https://worldpopulationreview.com/countries/north-macedonia" TargetMode="External"/><Relationship Id="rId59" Type="http://schemas.openxmlformats.org/officeDocument/2006/relationships/hyperlink" Target="https://worldpopulationreview.com/countries/uzbekistan" TargetMode="External"/><Relationship Id="rId103" Type="http://schemas.openxmlformats.org/officeDocument/2006/relationships/hyperlink" Target="https://worldpopulationreview.com/countries/philippines" TargetMode="External"/><Relationship Id="rId108" Type="http://schemas.openxmlformats.org/officeDocument/2006/relationships/hyperlink" Target="https://worldpopulationreview.com/countries/ivory-coast" TargetMode="External"/><Relationship Id="rId124" Type="http://schemas.openxmlformats.org/officeDocument/2006/relationships/hyperlink" Target="https://worldpopulationreview.com/countries/lesotho" TargetMode="External"/><Relationship Id="rId129" Type="http://schemas.openxmlformats.org/officeDocument/2006/relationships/hyperlink" Target="https://worldpopulationreview.com/countries/ecuador" TargetMode="External"/><Relationship Id="rId54" Type="http://schemas.openxmlformats.org/officeDocument/2006/relationships/hyperlink" Target="https://worldpopulationreview.com/countries/serbia" TargetMode="External"/><Relationship Id="rId70" Type="http://schemas.openxmlformats.org/officeDocument/2006/relationships/hyperlink" Target="https://worldpopulationreview.com/countries/tajikistan" TargetMode="External"/><Relationship Id="rId75" Type="http://schemas.openxmlformats.org/officeDocument/2006/relationships/hyperlink" Target="https://worldpopulationreview.com/countries/armenia" TargetMode="External"/><Relationship Id="rId91" Type="http://schemas.openxmlformats.org/officeDocument/2006/relationships/hyperlink" Target="https://worldpopulationreview.com/countries/rwanda" TargetMode="External"/><Relationship Id="rId96" Type="http://schemas.openxmlformats.org/officeDocument/2006/relationships/hyperlink" Target="https://worldpopulationreview.com/countries/dominican-republic" TargetMode="External"/><Relationship Id="rId140" Type="http://schemas.openxmlformats.org/officeDocument/2006/relationships/hyperlink" Target="https://worldpopulationreview.com/countries/niger" TargetMode="External"/><Relationship Id="rId145" Type="http://schemas.openxmlformats.org/officeDocument/2006/relationships/hyperlink" Target="https://worldpopulationreview.com/countries/colombia" TargetMode="External"/><Relationship Id="rId161" Type="http://schemas.openxmlformats.org/officeDocument/2006/relationships/hyperlink" Target="https://worldpopulationreview.com/countries/sudan" TargetMode="External"/><Relationship Id="rId1" Type="http://schemas.openxmlformats.org/officeDocument/2006/relationships/hyperlink" Target="https://worldpopulationreview.com/countries/iceland" TargetMode="External"/><Relationship Id="rId6" Type="http://schemas.openxmlformats.org/officeDocument/2006/relationships/hyperlink" Target="https://worldpopulationreview.com/countries/switzerland" TargetMode="External"/><Relationship Id="rId23" Type="http://schemas.openxmlformats.org/officeDocument/2006/relationships/hyperlink" Target="https://worldpopulationreview.com/countries/spain" TargetMode="External"/><Relationship Id="rId28" Type="http://schemas.openxmlformats.org/officeDocument/2006/relationships/hyperlink" Target="https://worldpopulationreview.com/countries/norway" TargetMode="External"/><Relationship Id="rId49" Type="http://schemas.openxmlformats.org/officeDocument/2006/relationships/hyperlink" Target="https://worldpopulationreview.com/countries/laos" TargetMode="External"/><Relationship Id="rId114" Type="http://schemas.openxmlformats.org/officeDocument/2006/relationships/hyperlink" Target="https://worldpopulationreview.com/countries/papua-new-guinea" TargetMode="External"/><Relationship Id="rId119" Type="http://schemas.openxmlformats.org/officeDocument/2006/relationships/hyperlink" Target="https://worldpopulationreview.com/countries/togo" TargetMode="External"/><Relationship Id="rId44" Type="http://schemas.openxmlformats.org/officeDocument/2006/relationships/hyperlink" Target="https://worldpopulationreview.com/countries/madagascar" TargetMode="External"/><Relationship Id="rId60" Type="http://schemas.openxmlformats.org/officeDocument/2006/relationships/hyperlink" Target="https://worldpopulationreview.com/countries/bosnia-and-herzegovina" TargetMode="External"/><Relationship Id="rId65" Type="http://schemas.openxmlformats.org/officeDocument/2006/relationships/hyperlink" Target="https://worldpopulationreview.com/countries/sierra-leone" TargetMode="External"/><Relationship Id="rId81" Type="http://schemas.openxmlformats.org/officeDocument/2006/relationships/hyperlink" Target="https://worldpopulationreview.com/countries/turkmenistan" TargetMode="External"/><Relationship Id="rId86" Type="http://schemas.openxmlformats.org/officeDocument/2006/relationships/hyperlink" Target="https://worldpopulationreview.com/countries/trinidad-and-tobago" TargetMode="External"/><Relationship Id="rId130" Type="http://schemas.openxmlformats.org/officeDocument/2006/relationships/hyperlink" Target="https://worldpopulationreview.com/countries/brazil" TargetMode="External"/><Relationship Id="rId135" Type="http://schemas.openxmlformats.org/officeDocument/2006/relationships/hyperlink" Target="https://worldpopulationreview.com/countries/eritrea" TargetMode="External"/><Relationship Id="rId151" Type="http://schemas.openxmlformats.org/officeDocument/2006/relationships/hyperlink" Target="https://worldpopulationreview.com/countries/north-korea" TargetMode="External"/><Relationship Id="rId156" Type="http://schemas.openxmlformats.org/officeDocument/2006/relationships/hyperlink" Target="https://worldpopulationreview.com/countries/russia" TargetMode="External"/><Relationship Id="rId13" Type="http://schemas.openxmlformats.org/officeDocument/2006/relationships/hyperlink" Target="https://worldpopulationreview.com/countries/finland" TargetMode="External"/><Relationship Id="rId18" Type="http://schemas.openxmlformats.org/officeDocument/2006/relationships/hyperlink" Target="https://worldpopulationreview.com/countries/netherlands" TargetMode="External"/><Relationship Id="rId39" Type="http://schemas.openxmlformats.org/officeDocument/2006/relationships/hyperlink" Target="https://worldpopulationreview.com/countries/sweden" TargetMode="External"/><Relationship Id="rId109" Type="http://schemas.openxmlformats.org/officeDocument/2006/relationships/hyperlink" Target="https://worldpopulationreview.com/countries/republic-of-the-congo" TargetMode="External"/><Relationship Id="rId34" Type="http://schemas.openxmlformats.org/officeDocument/2006/relationships/hyperlink" Target="https://worldpopulationreview.com/countries/united-kingdom" TargetMode="External"/><Relationship Id="rId50" Type="http://schemas.openxmlformats.org/officeDocument/2006/relationships/hyperlink" Target="https://worldpopulationreview.com/countries/botswana" TargetMode="External"/><Relationship Id="rId55" Type="http://schemas.openxmlformats.org/officeDocument/2006/relationships/hyperlink" Target="https://worldpopulationreview.com/countries/ghana" TargetMode="External"/><Relationship Id="rId76" Type="http://schemas.openxmlformats.org/officeDocument/2006/relationships/hyperlink" Target="https://worldpopulationreview.com/countries/kyrgyzstan" TargetMode="External"/><Relationship Id="rId97" Type="http://schemas.openxmlformats.org/officeDocument/2006/relationships/hyperlink" Target="https://worldpopulationreview.com/countries/cuba" TargetMode="External"/><Relationship Id="rId104" Type="http://schemas.openxmlformats.org/officeDocument/2006/relationships/hyperlink" Target="https://worldpopulationreview.com/countries/egypt" TargetMode="External"/><Relationship Id="rId120" Type="http://schemas.openxmlformats.org/officeDocument/2006/relationships/hyperlink" Target="https://worldpopulationreview.com/countries/zimbabwe" TargetMode="External"/><Relationship Id="rId125" Type="http://schemas.openxmlformats.org/officeDocument/2006/relationships/hyperlink" Target="https://worldpopulationreview.com/countries/uganda" TargetMode="External"/><Relationship Id="rId141" Type="http://schemas.openxmlformats.org/officeDocument/2006/relationships/hyperlink" Target="https://worldpopulationreview.com/countries/venezuela" TargetMode="External"/><Relationship Id="rId146" Type="http://schemas.openxmlformats.org/officeDocument/2006/relationships/hyperlink" Target="https://worldpopulationreview.com/countries/nigeria" TargetMode="External"/><Relationship Id="rId7" Type="http://schemas.openxmlformats.org/officeDocument/2006/relationships/hyperlink" Target="https://worldpopulationreview.com/countries/portugal" TargetMode="External"/><Relationship Id="rId71" Type="http://schemas.openxmlformats.org/officeDocument/2006/relationships/hyperlink" Target="https://worldpopulationreview.com/countries/angola" TargetMode="External"/><Relationship Id="rId92" Type="http://schemas.openxmlformats.org/officeDocument/2006/relationships/hyperlink" Target="https://worldpopulationreview.com/countries/bangladesh" TargetMode="External"/><Relationship Id="rId162" Type="http://schemas.openxmlformats.org/officeDocument/2006/relationships/hyperlink" Target="https://worldpopulationreview.com/countries/yemen" TargetMode="External"/><Relationship Id="rId2" Type="http://schemas.openxmlformats.org/officeDocument/2006/relationships/hyperlink" Target="https://worldpopulationreview.com/countries/austria" TargetMode="External"/><Relationship Id="rId29" Type="http://schemas.openxmlformats.org/officeDocument/2006/relationships/hyperlink" Target="https://worldpopulationreview.com/countries/qatar" TargetMode="External"/><Relationship Id="rId24" Type="http://schemas.openxmlformats.org/officeDocument/2006/relationships/hyperlink" Target="https://worldpopulationreview.com/countries/estonia" TargetMode="External"/><Relationship Id="rId40" Type="http://schemas.openxmlformats.org/officeDocument/2006/relationships/hyperlink" Target="https://worldpopulationreview.com/countries/greece" TargetMode="External"/><Relationship Id="rId45" Type="http://schemas.openxmlformats.org/officeDocument/2006/relationships/hyperlink" Target="https://worldpopulationreview.com/countries/mongolia" TargetMode="External"/><Relationship Id="rId66" Type="http://schemas.openxmlformats.org/officeDocument/2006/relationships/hyperlink" Target="https://worldpopulationreview.com/countries/jordan" TargetMode="External"/><Relationship Id="rId87" Type="http://schemas.openxmlformats.org/officeDocument/2006/relationships/hyperlink" Target="https://worldpopulationreview.com/countries/china" TargetMode="External"/><Relationship Id="rId110" Type="http://schemas.openxmlformats.org/officeDocument/2006/relationships/hyperlink" Target="https://worldpopulationreview.com/countries/guyana" TargetMode="External"/><Relationship Id="rId115" Type="http://schemas.openxmlformats.org/officeDocument/2006/relationships/hyperlink" Target="https://worldpopulationreview.com/countries/india" TargetMode="External"/><Relationship Id="rId131" Type="http://schemas.openxmlformats.org/officeDocument/2006/relationships/hyperlink" Target="https://worldpopulationreview.com/countries/united-states" TargetMode="External"/><Relationship Id="rId136" Type="http://schemas.openxmlformats.org/officeDocument/2006/relationships/hyperlink" Target="https://worldpopulationreview.com/countries/cameroon" TargetMode="External"/><Relationship Id="rId157" Type="http://schemas.openxmlformats.org/officeDocument/2006/relationships/hyperlink" Target="https://worldpopulationreview.com/countries/dr-congo" TargetMode="External"/><Relationship Id="rId61" Type="http://schemas.openxmlformats.org/officeDocument/2006/relationships/hyperlink" Target="https://worldpopulationreview.com/countries/namibia" TargetMode="External"/><Relationship Id="rId82" Type="http://schemas.openxmlformats.org/officeDocument/2006/relationships/hyperlink" Target="https://worldpopulationreview.com/countries/gambia" TargetMode="External"/><Relationship Id="rId152" Type="http://schemas.openxmlformats.org/officeDocument/2006/relationships/hyperlink" Target="https://worldpopulationreview.com/countries/somalia" TargetMode="External"/><Relationship Id="rId19" Type="http://schemas.openxmlformats.org/officeDocument/2006/relationships/hyperlink" Target="https://worldpopulationreview.com/countries/australia" TargetMode="External"/><Relationship Id="rId14" Type="http://schemas.openxmlformats.org/officeDocument/2006/relationships/hyperlink" Target="https://worldpopulationreview.com/countries/hungary" TargetMode="External"/><Relationship Id="rId30" Type="http://schemas.openxmlformats.org/officeDocument/2006/relationships/hyperlink" Target="https://worldpopulationreview.com/countries/latvia" TargetMode="External"/><Relationship Id="rId35" Type="http://schemas.openxmlformats.org/officeDocument/2006/relationships/hyperlink" Target="https://worldpopulationreview.com/countries/montenegro" TargetMode="External"/><Relationship Id="rId56" Type="http://schemas.openxmlformats.org/officeDocument/2006/relationships/hyperlink" Target="https://worldpopulationreview.com/countries/zambia" TargetMode="External"/><Relationship Id="rId77" Type="http://schemas.openxmlformats.org/officeDocument/2006/relationships/hyperlink" Target="https://worldpopulationreview.com/countries/morocco" TargetMode="External"/><Relationship Id="rId100" Type="http://schemas.openxmlformats.org/officeDocument/2006/relationships/hyperlink" Target="https://worldpopulationreview.com/countries/georgia" TargetMode="External"/><Relationship Id="rId105" Type="http://schemas.openxmlformats.org/officeDocument/2006/relationships/hyperlink" Target="https://worldpopulationreview.com/countries/azerbaijan" TargetMode="External"/><Relationship Id="rId126" Type="http://schemas.openxmlformats.org/officeDocument/2006/relationships/hyperlink" Target="https://worldpopulationreview.com/countries/south-africa" TargetMode="External"/><Relationship Id="rId147" Type="http://schemas.openxmlformats.org/officeDocument/2006/relationships/hyperlink" Target="https://worldpopulationreview.com/countries/myanmar" TargetMode="External"/><Relationship Id="rId8" Type="http://schemas.openxmlformats.org/officeDocument/2006/relationships/hyperlink" Target="https://worldpopulationreview.com/countries/denmark" TargetMode="External"/><Relationship Id="rId51" Type="http://schemas.openxmlformats.org/officeDocument/2006/relationships/hyperlink" Target="https://worldpopulationreview.com/countries/timor-leste" TargetMode="External"/><Relationship Id="rId72" Type="http://schemas.openxmlformats.org/officeDocument/2006/relationships/hyperlink" Target="https://worldpopulationreview.com/countries/tunisia" TargetMode="External"/><Relationship Id="rId93" Type="http://schemas.openxmlformats.org/officeDocument/2006/relationships/hyperlink" Target="https://worldpopulationreview.com/countries/equatorial-guinea" TargetMode="External"/><Relationship Id="rId98" Type="http://schemas.openxmlformats.org/officeDocument/2006/relationships/hyperlink" Target="https://worldpopulationreview.com/countries/peru" TargetMode="External"/><Relationship Id="rId121" Type="http://schemas.openxmlformats.org/officeDocument/2006/relationships/hyperlink" Target="https://worldpopulationreview.com/countries/kenya" TargetMode="External"/><Relationship Id="rId142" Type="http://schemas.openxmlformats.org/officeDocument/2006/relationships/hyperlink" Target="https://worldpopulationreview.com/countries/haiti" TargetMode="External"/><Relationship Id="rId163" Type="http://schemas.openxmlformats.org/officeDocument/2006/relationships/drawing" Target="../drawings/drawing1.xml"/><Relationship Id="rId3" Type="http://schemas.openxmlformats.org/officeDocument/2006/relationships/hyperlink" Target="https://worldpopulationreview.com/countries/ireland" TargetMode="External"/><Relationship Id="rId25" Type="http://schemas.openxmlformats.org/officeDocument/2006/relationships/hyperlink" Target="https://worldpopulationreview.com/countries/kuwait" TargetMode="External"/><Relationship Id="rId46" Type="http://schemas.openxmlformats.org/officeDocument/2006/relationships/hyperlink" Target="https://worldpopulationreview.com/countries/south-korea" TargetMode="External"/><Relationship Id="rId67" Type="http://schemas.openxmlformats.org/officeDocument/2006/relationships/hyperlink" Target="https://worldpopulationreview.com/countries/bolivia" TargetMode="External"/><Relationship Id="rId116" Type="http://schemas.openxmlformats.org/officeDocument/2006/relationships/hyperlink" Target="https://worldpopulationreview.com/countries/guatemala" TargetMode="External"/><Relationship Id="rId137" Type="http://schemas.openxmlformats.org/officeDocument/2006/relationships/hyperlink" Target="https://worldpopulationreview.com/countries/mexico" TargetMode="External"/><Relationship Id="rId158" Type="http://schemas.openxmlformats.org/officeDocument/2006/relationships/hyperlink" Target="https://worldpopulationreview.com/countries/ukraine" TargetMode="External"/><Relationship Id="rId20" Type="http://schemas.openxmlformats.org/officeDocument/2006/relationships/hyperlink" Target="https://worldpopulationreview.com/countries/germany" TargetMode="External"/><Relationship Id="rId41" Type="http://schemas.openxmlformats.org/officeDocument/2006/relationships/hyperlink" Target="https://worldpopulationreview.com/countries/vietnam" TargetMode="External"/><Relationship Id="rId62" Type="http://schemas.openxmlformats.org/officeDocument/2006/relationships/hyperlink" Target="https://worldpopulationreview.com/countries/moldova" TargetMode="External"/><Relationship Id="rId83" Type="http://schemas.openxmlformats.org/officeDocument/2006/relationships/hyperlink" Target="https://worldpopulationreview.com/countries/senegal" TargetMode="External"/><Relationship Id="rId88" Type="http://schemas.openxmlformats.org/officeDocument/2006/relationships/hyperlink" Target="https://worldpopulationreview.com/countries/cyprus" TargetMode="External"/><Relationship Id="rId111" Type="http://schemas.openxmlformats.org/officeDocument/2006/relationships/hyperlink" Target="https://worldpopulationreview.com/countries/belarus" TargetMode="External"/><Relationship Id="rId132" Type="http://schemas.openxmlformats.org/officeDocument/2006/relationships/hyperlink" Target="https://worldpopulationreview.com/countries/iran" TargetMode="External"/><Relationship Id="rId153" Type="http://schemas.openxmlformats.org/officeDocument/2006/relationships/hyperlink" Target="https://worldpopulationreview.com/countries/mali" TargetMode="External"/><Relationship Id="rId15" Type="http://schemas.openxmlformats.org/officeDocument/2006/relationships/hyperlink" Target="https://worldpopulationreview.com/countries/croatia" TargetMode="External"/><Relationship Id="rId36" Type="http://schemas.openxmlformats.org/officeDocument/2006/relationships/hyperlink" Target="https://worldpopulationreview.com/countries/romania" TargetMode="External"/><Relationship Id="rId57" Type="http://schemas.openxmlformats.org/officeDocument/2006/relationships/hyperlink" Target="https://worldpopulationreview.com/countries/costa-rica" TargetMode="External"/><Relationship Id="rId106" Type="http://schemas.openxmlformats.org/officeDocument/2006/relationships/hyperlink" Target="https://worldpopulationreview.com/countries/mozambique" TargetMode="External"/><Relationship Id="rId127" Type="http://schemas.openxmlformats.org/officeDocument/2006/relationships/hyperlink" Target="https://worldpopulationreview.com/countries/libya" TargetMode="External"/><Relationship Id="rId10" Type="http://schemas.openxmlformats.org/officeDocument/2006/relationships/hyperlink" Target="https://worldpopulationreview.com/countries/malaysia" TargetMode="External"/><Relationship Id="rId31" Type="http://schemas.openxmlformats.org/officeDocument/2006/relationships/hyperlink" Target="https://worldpopulationreview.com/countries/lithuania" TargetMode="External"/><Relationship Id="rId52" Type="http://schemas.openxmlformats.org/officeDocument/2006/relationships/hyperlink" Target="https://worldpopulationreview.com/countries/uruguay" TargetMode="External"/><Relationship Id="rId73" Type="http://schemas.openxmlformats.org/officeDocument/2006/relationships/hyperlink" Target="https://worldpopulationreview.com/countries/paraguay" TargetMode="External"/><Relationship Id="rId78" Type="http://schemas.openxmlformats.org/officeDocument/2006/relationships/hyperlink" Target="https://worldpopulationreview.com/countries/malawi" TargetMode="External"/><Relationship Id="rId94" Type="http://schemas.openxmlformats.org/officeDocument/2006/relationships/hyperlink" Target="https://worldpopulationreview.com/countries/mauritania" TargetMode="External"/><Relationship Id="rId99" Type="http://schemas.openxmlformats.org/officeDocument/2006/relationships/hyperlink" Target="https://worldpopulationreview.com/countries/sri-lanka" TargetMode="External"/><Relationship Id="rId101" Type="http://schemas.openxmlformats.org/officeDocument/2006/relationships/hyperlink" Target="https://worldpopulationreview.com/countries/saudi-arabia" TargetMode="External"/><Relationship Id="rId122" Type="http://schemas.openxmlformats.org/officeDocument/2006/relationships/hyperlink" Target="https://worldpopulationreview.com/countries/honduras" TargetMode="External"/><Relationship Id="rId143" Type="http://schemas.openxmlformats.org/officeDocument/2006/relationships/hyperlink" Target="https://worldpopulationreview.com/countries/ethiopia" TargetMode="External"/><Relationship Id="rId148" Type="http://schemas.openxmlformats.org/officeDocument/2006/relationships/hyperlink" Target="https://worldpopulationreview.com/countries/burkina-faso" TargetMode="External"/><Relationship Id="rId4" Type="http://schemas.openxmlformats.org/officeDocument/2006/relationships/hyperlink" Target="https://worldpopulationreview.com/countries/new-zealand" TargetMode="External"/><Relationship Id="rId9" Type="http://schemas.openxmlformats.org/officeDocument/2006/relationships/hyperlink" Target="https://worldpopulationreview.com/countries/slovenia" TargetMode="External"/><Relationship Id="rId26" Type="http://schemas.openxmlformats.org/officeDocument/2006/relationships/hyperlink" Target="https://worldpopulationreview.com/countries/bulgaria" TargetMode="External"/><Relationship Id="rId47" Type="http://schemas.openxmlformats.org/officeDocument/2006/relationships/hyperlink" Target="https://worldpopulationreview.com/countries/argentina" TargetMode="External"/><Relationship Id="rId68" Type="http://schemas.openxmlformats.org/officeDocument/2006/relationships/hyperlink" Target="https://worldpopulationreview.com/countries/liberia" TargetMode="External"/><Relationship Id="rId89" Type="http://schemas.openxmlformats.org/officeDocument/2006/relationships/hyperlink" Target="https://worldpopulationreview.com/countries/algeria" TargetMode="External"/><Relationship Id="rId112" Type="http://schemas.openxmlformats.org/officeDocument/2006/relationships/hyperlink" Target="https://worldpopulationreview.com/countries/nicaragua" TargetMode="External"/><Relationship Id="rId133" Type="http://schemas.openxmlformats.org/officeDocument/2006/relationships/hyperlink" Target="https://worldpopulationreview.com/countries/lebanon" TargetMode="External"/><Relationship Id="rId154" Type="http://schemas.openxmlformats.org/officeDocument/2006/relationships/hyperlink" Target="https://worldpopulationreview.com/countries/israel" TargetMode="External"/><Relationship Id="rId16" Type="http://schemas.openxmlformats.org/officeDocument/2006/relationships/hyperlink" Target="https://worldpopulationreview.com/countries/belgium" TargetMode="External"/><Relationship Id="rId37" Type="http://schemas.openxmlformats.org/officeDocument/2006/relationships/hyperlink" Target="https://worldpopulationreview.com/countries/oman" TargetMode="External"/><Relationship Id="rId58" Type="http://schemas.openxmlformats.org/officeDocument/2006/relationships/hyperlink" Target="https://worldpopulationreview.com/countries/kazakhstan" TargetMode="External"/><Relationship Id="rId79" Type="http://schemas.openxmlformats.org/officeDocument/2006/relationships/hyperlink" Target="https://worldpopulationreview.com/countries/nepal" TargetMode="External"/><Relationship Id="rId102" Type="http://schemas.openxmlformats.org/officeDocument/2006/relationships/hyperlink" Target="https://worldpopulationreview.com/countries/eswatini" TargetMode="External"/><Relationship Id="rId123" Type="http://schemas.openxmlformats.org/officeDocument/2006/relationships/hyperlink" Target="https://worldpopulationreview.com/countries/guinea" TargetMode="External"/><Relationship Id="rId144" Type="http://schemas.openxmlformats.org/officeDocument/2006/relationships/hyperlink" Target="https://worldpopulationreview.com/countries/palestine" TargetMode="External"/><Relationship Id="rId90" Type="http://schemas.openxmlformats.org/officeDocument/2006/relationships/hyperlink" Target="https://worldpopulationreview.com/countries/jamaica" TargetMode="External"/><Relationship Id="rId27" Type="http://schemas.openxmlformats.org/officeDocument/2006/relationships/hyperlink" Target="https://worldpopulationreview.com/countries/slovakia" TargetMode="External"/><Relationship Id="rId48" Type="http://schemas.openxmlformats.org/officeDocument/2006/relationships/hyperlink" Target="https://worldpopulationreview.com/countries/indonesia" TargetMode="External"/><Relationship Id="rId69" Type="http://schemas.openxmlformats.org/officeDocument/2006/relationships/hyperlink" Target="https://worldpopulationreview.com/countries/cambodia" TargetMode="External"/><Relationship Id="rId113" Type="http://schemas.openxmlformats.org/officeDocument/2006/relationships/hyperlink" Target="https://worldpopulationreview.com/countries/benin" TargetMode="External"/><Relationship Id="rId134" Type="http://schemas.openxmlformats.org/officeDocument/2006/relationships/hyperlink" Target="https://worldpopulationreview.com/countries/chad" TargetMode="External"/><Relationship Id="rId80" Type="http://schemas.openxmlformats.org/officeDocument/2006/relationships/hyperlink" Target="https://worldpopulationreview.com/countries/bahrain" TargetMode="External"/><Relationship Id="rId155" Type="http://schemas.openxmlformats.org/officeDocument/2006/relationships/hyperlink" Target="https://worldpopulationreview.com/countries/syr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94C9F-FEBA-0944-B1E3-7363C3DC5247}">
  <sheetPr>
    <tabColor rgb="FF00B050"/>
  </sheetPr>
  <dimension ref="A1:Z236"/>
  <sheetViews>
    <sheetView zoomScale="90" zoomScaleNormal="90" workbookViewId="0">
      <pane ySplit="1" topLeftCell="A2" activePane="bottomLeft" state="frozen"/>
      <selection pane="bottomLeft" activeCell="N12" sqref="N12"/>
    </sheetView>
  </sheetViews>
  <sheetFormatPr baseColWidth="10" defaultRowHeight="37" x14ac:dyDescent="0.2"/>
  <cols>
    <col min="1" max="1" width="4.6640625" style="12" bestFit="1" customWidth="1"/>
    <col min="2" max="2" width="11.83203125" style="12" customWidth="1"/>
    <col min="3" max="3" width="17.6640625" style="12" customWidth="1"/>
    <col min="4" max="5" width="6.1640625" style="12" bestFit="1" customWidth="1"/>
    <col min="6" max="6" width="8" style="12" customWidth="1"/>
    <col min="7" max="7" width="10.83203125" style="4"/>
    <col min="8" max="8" width="18" style="12" customWidth="1"/>
    <col min="9" max="9" width="12.83203125" style="12" customWidth="1"/>
    <col min="10" max="10" width="14.1640625" style="12" bestFit="1" customWidth="1"/>
    <col min="11" max="11" width="9.83203125" style="12" bestFit="1" customWidth="1"/>
    <col min="12" max="12" width="11.1640625" style="12" customWidth="1"/>
    <col min="13" max="13" width="10.1640625" style="12" bestFit="1" customWidth="1"/>
    <col min="14" max="14" width="19.83203125" style="30" bestFit="1" customWidth="1"/>
    <col min="15" max="15" width="10.33203125" customWidth="1"/>
    <col min="16" max="16" width="10.83203125" style="27" customWidth="1"/>
    <col min="17" max="17" width="16.1640625" style="32" customWidth="1"/>
    <col min="18" max="18" width="16.1640625" style="13" customWidth="1"/>
    <col min="19" max="19" width="13.1640625" style="13" customWidth="1"/>
    <col min="20" max="20" width="3.5" style="24" customWidth="1"/>
    <col min="21" max="21" width="4.33203125" customWidth="1"/>
    <col min="22" max="22" width="22.5" style="12" bestFit="1" customWidth="1"/>
    <col min="23" max="23" width="11.83203125" style="12" customWidth="1"/>
    <col min="24" max="24" width="17.6640625" style="12" customWidth="1"/>
    <col min="25" max="25" width="6.1640625" style="12" bestFit="1" customWidth="1"/>
    <col min="26" max="26" width="9.83203125" style="4" bestFit="1" customWidth="1"/>
  </cols>
  <sheetData>
    <row r="1" spans="1:26" ht="62" customHeight="1" x14ac:dyDescent="0.2">
      <c r="A1" s="2" t="s">
        <v>0</v>
      </c>
      <c r="B1" s="2" t="s">
        <v>1003</v>
      </c>
      <c r="C1" s="2" t="s">
        <v>1004</v>
      </c>
      <c r="D1" s="2" t="s">
        <v>1215</v>
      </c>
      <c r="E1" s="2" t="s">
        <v>1216</v>
      </c>
      <c r="F1" s="5" t="s">
        <v>1326</v>
      </c>
      <c r="G1" s="3" t="s">
        <v>1005</v>
      </c>
      <c r="H1" s="46" t="s">
        <v>1002</v>
      </c>
      <c r="I1" s="2" t="s">
        <v>1006</v>
      </c>
      <c r="J1" s="5" t="s">
        <v>1323</v>
      </c>
      <c r="K1" s="5" t="s">
        <v>1324</v>
      </c>
      <c r="L1" s="5" t="s">
        <v>1325</v>
      </c>
      <c r="M1" s="5" t="s">
        <v>1007</v>
      </c>
      <c r="N1" s="28" t="s">
        <v>1316</v>
      </c>
      <c r="O1" s="5" t="s">
        <v>1318</v>
      </c>
      <c r="P1" s="26" t="s">
        <v>1317</v>
      </c>
      <c r="Q1" s="31" t="s">
        <v>1322</v>
      </c>
      <c r="R1" s="5" t="s">
        <v>629</v>
      </c>
      <c r="S1" s="5" t="s">
        <v>630</v>
      </c>
      <c r="T1" s="25"/>
      <c r="V1" s="2" t="s">
        <v>1002</v>
      </c>
      <c r="W1" s="2" t="s">
        <v>1003</v>
      </c>
      <c r="X1" s="2" t="s">
        <v>1004</v>
      </c>
      <c r="Y1" s="2" t="s">
        <v>1216</v>
      </c>
      <c r="Z1" s="3" t="s">
        <v>1005</v>
      </c>
    </row>
    <row r="2" spans="1:26" ht="35" x14ac:dyDescent="0.2">
      <c r="A2" s="6">
        <v>1</v>
      </c>
      <c r="B2" s="6" t="s">
        <v>624</v>
      </c>
      <c r="C2" s="6" t="s">
        <v>607</v>
      </c>
      <c r="D2" s="14" t="s">
        <v>905</v>
      </c>
      <c r="E2" s="14" t="s">
        <v>1092</v>
      </c>
      <c r="F2" s="13">
        <v>91</v>
      </c>
      <c r="G2" s="1" t="s">
        <v>495</v>
      </c>
      <c r="H2" s="7" t="s">
        <v>4</v>
      </c>
      <c r="I2" s="14" t="s">
        <v>703</v>
      </c>
      <c r="J2" s="8">
        <v>1463865525</v>
      </c>
      <c r="K2" s="9">
        <v>0.17780000000000001</v>
      </c>
      <c r="L2" s="10">
        <v>2973190</v>
      </c>
      <c r="M2" s="12">
        <v>492</v>
      </c>
      <c r="N2" s="29">
        <v>3567550000000</v>
      </c>
      <c r="O2">
        <v>2481</v>
      </c>
      <c r="P2" s="27">
        <v>3.3599999999999998E-2</v>
      </c>
      <c r="Q2" s="32">
        <v>3912686</v>
      </c>
      <c r="R2" s="13">
        <v>761000000000</v>
      </c>
      <c r="S2" s="13">
        <v>1677</v>
      </c>
      <c r="V2" s="7" t="s">
        <v>4</v>
      </c>
      <c r="W2" s="6" t="s">
        <v>624</v>
      </c>
      <c r="X2" s="6" t="s">
        <v>607</v>
      </c>
      <c r="Y2" s="14" t="s">
        <v>1092</v>
      </c>
      <c r="Z2" s="1" t="s">
        <v>495</v>
      </c>
    </row>
    <row r="3" spans="1:26" ht="35" x14ac:dyDescent="0.2">
      <c r="A3" s="6">
        <v>2</v>
      </c>
      <c r="B3" s="6" t="s">
        <v>624</v>
      </c>
      <c r="C3" s="6" t="s">
        <v>608</v>
      </c>
      <c r="D3" s="14" t="s">
        <v>934</v>
      </c>
      <c r="E3" s="14" t="s">
        <v>1046</v>
      </c>
      <c r="F3" s="13">
        <v>86</v>
      </c>
      <c r="G3" s="1" t="s">
        <v>496</v>
      </c>
      <c r="H3" s="7" t="s">
        <v>5</v>
      </c>
      <c r="I3" s="14" t="s">
        <v>662</v>
      </c>
      <c r="J3" s="8">
        <v>1416096094</v>
      </c>
      <c r="K3" s="9">
        <v>0.17199999999999999</v>
      </c>
      <c r="L3" s="10">
        <v>9388211</v>
      </c>
      <c r="M3" s="12">
        <v>151</v>
      </c>
      <c r="N3" s="29">
        <v>17794800000000</v>
      </c>
      <c r="O3">
        <v>12509</v>
      </c>
      <c r="P3" s="27">
        <v>0.1676</v>
      </c>
      <c r="Q3" s="32">
        <v>18743803</v>
      </c>
      <c r="R3" s="13">
        <v>598100000000</v>
      </c>
      <c r="S3" s="13">
        <v>1174</v>
      </c>
      <c r="V3" s="7" t="s">
        <v>5</v>
      </c>
      <c r="W3" s="6" t="s">
        <v>624</v>
      </c>
      <c r="X3" s="6" t="s">
        <v>608</v>
      </c>
      <c r="Y3" s="14" t="s">
        <v>1046</v>
      </c>
      <c r="Z3" s="1" t="s">
        <v>496</v>
      </c>
    </row>
    <row r="4" spans="1:26" ht="35" x14ac:dyDescent="0.2">
      <c r="A4" s="6">
        <v>3</v>
      </c>
      <c r="B4" s="6" t="s">
        <v>625</v>
      </c>
      <c r="C4" s="6" t="s">
        <v>623</v>
      </c>
      <c r="D4" s="14" t="s">
        <v>995</v>
      </c>
      <c r="E4" s="14" t="s">
        <v>1206</v>
      </c>
      <c r="F4" s="13">
        <v>1</v>
      </c>
      <c r="G4" s="1" t="s">
        <v>497</v>
      </c>
      <c r="H4" s="7" t="s">
        <v>6</v>
      </c>
      <c r="I4" s="14" t="s">
        <v>791</v>
      </c>
      <c r="J4" s="8">
        <v>347275807</v>
      </c>
      <c r="K4" s="9">
        <v>4.2200000000000001E-2</v>
      </c>
      <c r="L4" s="10">
        <v>9147420</v>
      </c>
      <c r="M4" s="12">
        <v>38</v>
      </c>
      <c r="N4" s="29">
        <v>27720700000000</v>
      </c>
      <c r="O4">
        <v>80706</v>
      </c>
      <c r="P4" s="27">
        <v>0.2611</v>
      </c>
      <c r="Q4" s="32">
        <v>29184890</v>
      </c>
      <c r="R4" s="13">
        <v>444300000000</v>
      </c>
      <c r="S4" s="13">
        <v>3732</v>
      </c>
      <c r="V4" s="7" t="s">
        <v>6</v>
      </c>
      <c r="W4" s="6" t="s">
        <v>625</v>
      </c>
      <c r="X4" s="6" t="s">
        <v>623</v>
      </c>
      <c r="Y4" s="14" t="s">
        <v>1206</v>
      </c>
      <c r="Z4" s="1" t="s">
        <v>497</v>
      </c>
    </row>
    <row r="5" spans="1:26" ht="35" x14ac:dyDescent="0.2">
      <c r="A5" s="6">
        <v>4</v>
      </c>
      <c r="B5" s="6" t="s">
        <v>624</v>
      </c>
      <c r="C5" s="6" t="s">
        <v>609</v>
      </c>
      <c r="D5" s="14" t="s">
        <v>906</v>
      </c>
      <c r="E5" s="14" t="s">
        <v>1093</v>
      </c>
      <c r="F5" s="13">
        <v>62</v>
      </c>
      <c r="G5" s="1" t="s">
        <v>498</v>
      </c>
      <c r="H5" s="7" t="s">
        <v>7</v>
      </c>
      <c r="I5" s="14" t="s">
        <v>704</v>
      </c>
      <c r="J5" s="8">
        <v>285721236</v>
      </c>
      <c r="K5" s="9">
        <v>3.4700000000000002E-2</v>
      </c>
      <c r="L5" s="10">
        <v>1811570</v>
      </c>
      <c r="M5" s="12">
        <v>158</v>
      </c>
      <c r="N5" s="29">
        <v>1371170000000</v>
      </c>
      <c r="O5">
        <v>4876</v>
      </c>
      <c r="P5" s="27">
        <v>1.29E-2</v>
      </c>
      <c r="Q5" s="32">
        <v>1396300</v>
      </c>
      <c r="R5" s="13">
        <v>222600000000</v>
      </c>
      <c r="S5" s="13">
        <v>2305</v>
      </c>
      <c r="V5" s="7" t="s">
        <v>7</v>
      </c>
      <c r="W5" s="6" t="s">
        <v>624</v>
      </c>
      <c r="X5" s="6" t="s">
        <v>609</v>
      </c>
      <c r="Y5" s="14" t="s">
        <v>1093</v>
      </c>
      <c r="Z5" s="1" t="s">
        <v>498</v>
      </c>
    </row>
    <row r="6" spans="1:26" ht="35" x14ac:dyDescent="0.2">
      <c r="A6" s="6">
        <v>5</v>
      </c>
      <c r="B6" s="6" t="s">
        <v>624</v>
      </c>
      <c r="C6" s="6" t="s">
        <v>607</v>
      </c>
      <c r="D6" s="14" t="s">
        <v>917</v>
      </c>
      <c r="E6" s="14" t="s">
        <v>1147</v>
      </c>
      <c r="F6" s="13">
        <v>92</v>
      </c>
      <c r="G6" s="1" t="s">
        <v>499</v>
      </c>
      <c r="H6" s="7" t="s">
        <v>8</v>
      </c>
      <c r="I6" s="14" t="s">
        <v>748</v>
      </c>
      <c r="J6" s="8">
        <v>255219554</v>
      </c>
      <c r="K6" s="9">
        <v>3.1E-2</v>
      </c>
      <c r="L6" s="10">
        <v>770880</v>
      </c>
      <c r="M6" s="12">
        <v>331</v>
      </c>
      <c r="N6" s="29">
        <v>337912000000</v>
      </c>
      <c r="O6">
        <v>1365</v>
      </c>
      <c r="P6" s="27">
        <v>3.2000000000000002E-3</v>
      </c>
      <c r="Q6" s="32">
        <v>2024</v>
      </c>
      <c r="R6" s="13">
        <v>183500000000</v>
      </c>
      <c r="S6" s="13">
        <v>2653</v>
      </c>
      <c r="V6" s="7" t="s">
        <v>8</v>
      </c>
      <c r="W6" s="6" t="s">
        <v>624</v>
      </c>
      <c r="X6" s="6" t="s">
        <v>607</v>
      </c>
      <c r="Y6" s="14" t="s">
        <v>1147</v>
      </c>
      <c r="Z6" s="1" t="s">
        <v>499</v>
      </c>
    </row>
    <row r="7" spans="1:26" ht="35" x14ac:dyDescent="0.2">
      <c r="A7" s="6">
        <v>6</v>
      </c>
      <c r="B7" s="6" t="s">
        <v>627</v>
      </c>
      <c r="C7" s="6" t="s">
        <v>602</v>
      </c>
      <c r="D7" s="14" t="s">
        <v>849</v>
      </c>
      <c r="E7" s="14" t="s">
        <v>1142</v>
      </c>
      <c r="F7" s="13">
        <v>234</v>
      </c>
      <c r="G7" s="1" t="s">
        <v>500</v>
      </c>
      <c r="H7" s="7" t="s">
        <v>9</v>
      </c>
      <c r="I7" s="14" t="s">
        <v>743</v>
      </c>
      <c r="J7" s="8">
        <v>237527782</v>
      </c>
      <c r="K7" s="9">
        <v>2.8899999999999999E-2</v>
      </c>
      <c r="L7" s="10">
        <v>910770</v>
      </c>
      <c r="M7" s="12">
        <v>261</v>
      </c>
      <c r="N7" s="29">
        <v>363846000000</v>
      </c>
      <c r="O7">
        <v>1597</v>
      </c>
      <c r="P7" s="27">
        <v>3.3999999999999998E-3</v>
      </c>
      <c r="Q7" s="32">
        <v>187760</v>
      </c>
      <c r="R7" s="13">
        <v>12470000000</v>
      </c>
      <c r="S7" s="13">
        <v>205</v>
      </c>
      <c r="V7" s="7" t="s">
        <v>9</v>
      </c>
      <c r="W7" s="6" t="s">
        <v>627</v>
      </c>
      <c r="X7" s="6" t="s">
        <v>602</v>
      </c>
      <c r="Y7" s="14" t="s">
        <v>1142</v>
      </c>
      <c r="Z7" s="1" t="s">
        <v>500</v>
      </c>
    </row>
    <row r="8" spans="1:26" ht="35" x14ac:dyDescent="0.2">
      <c r="A8" s="6">
        <v>7</v>
      </c>
      <c r="B8" s="6" t="s">
        <v>625</v>
      </c>
      <c r="C8" s="6" t="s">
        <v>617</v>
      </c>
      <c r="D8" s="14" t="s">
        <v>997</v>
      </c>
      <c r="E8" s="14" t="s">
        <v>1034</v>
      </c>
      <c r="F8" s="13">
        <v>55</v>
      </c>
      <c r="G8" s="1" t="s">
        <v>501</v>
      </c>
      <c r="H8" s="7" t="s">
        <v>10</v>
      </c>
      <c r="I8" s="14" t="s">
        <v>651</v>
      </c>
      <c r="J8" s="8">
        <v>212812405</v>
      </c>
      <c r="K8" s="9">
        <v>2.5899999999999999E-2</v>
      </c>
      <c r="L8" s="10">
        <v>8358140</v>
      </c>
      <c r="M8" s="12">
        <v>25</v>
      </c>
      <c r="N8" s="29">
        <v>2173670000000</v>
      </c>
      <c r="O8">
        <v>10295</v>
      </c>
      <c r="P8" s="27">
        <v>2.0500000000000001E-2</v>
      </c>
      <c r="Q8" s="32">
        <v>2179412</v>
      </c>
      <c r="R8" s="13">
        <v>63500000000</v>
      </c>
      <c r="S8" s="13">
        <v>856</v>
      </c>
      <c r="V8" s="7" t="s">
        <v>10</v>
      </c>
      <c r="W8" s="6" t="s">
        <v>625</v>
      </c>
      <c r="X8" s="6" t="s">
        <v>617</v>
      </c>
      <c r="Y8" s="14" t="s">
        <v>1034</v>
      </c>
      <c r="Z8" s="1" t="s">
        <v>501</v>
      </c>
    </row>
    <row r="9" spans="1:26" ht="35" x14ac:dyDescent="0.2">
      <c r="A9" s="6">
        <v>8</v>
      </c>
      <c r="B9" s="6" t="s">
        <v>624</v>
      </c>
      <c r="C9" s="6" t="s">
        <v>607</v>
      </c>
      <c r="D9" s="14" t="s">
        <v>895</v>
      </c>
      <c r="E9" s="14" t="s">
        <v>1023</v>
      </c>
      <c r="F9" s="13">
        <v>880</v>
      </c>
      <c r="G9" s="1" t="s">
        <v>502</v>
      </c>
      <c r="H9" s="7" t="s">
        <v>11</v>
      </c>
      <c r="I9" s="14" t="s">
        <v>643</v>
      </c>
      <c r="J9" s="8">
        <v>175686899</v>
      </c>
      <c r="K9" s="9">
        <v>2.1299999999999999E-2</v>
      </c>
      <c r="L9" s="10">
        <v>130170</v>
      </c>
      <c r="M9" s="12">
        <v>1350</v>
      </c>
      <c r="N9" s="29">
        <v>437415000000</v>
      </c>
      <c r="O9">
        <v>2551</v>
      </c>
      <c r="P9" s="27">
        <v>4.1000000000000003E-3</v>
      </c>
      <c r="Q9" s="32">
        <v>450119</v>
      </c>
      <c r="R9" s="13">
        <v>35870000000</v>
      </c>
      <c r="S9" s="13">
        <v>657</v>
      </c>
      <c r="V9" s="7" t="s">
        <v>11</v>
      </c>
      <c r="W9" s="6" t="s">
        <v>624</v>
      </c>
      <c r="X9" s="6" t="s">
        <v>607</v>
      </c>
      <c r="Y9" s="14" t="s">
        <v>1023</v>
      </c>
      <c r="Z9" s="1" t="s">
        <v>502</v>
      </c>
    </row>
    <row r="10" spans="1:26" ht="35" x14ac:dyDescent="0.2">
      <c r="A10" s="6">
        <v>9</v>
      </c>
      <c r="B10" s="6" t="s">
        <v>626</v>
      </c>
      <c r="C10" s="6" t="s">
        <v>613</v>
      </c>
      <c r="D10" s="14" t="s">
        <v>983</v>
      </c>
      <c r="E10" s="14" t="s">
        <v>1158</v>
      </c>
      <c r="F10" s="13">
        <v>7</v>
      </c>
      <c r="G10" s="1" t="s">
        <v>503</v>
      </c>
      <c r="H10" s="7" t="s">
        <v>984</v>
      </c>
      <c r="I10" s="14" t="s">
        <v>758</v>
      </c>
      <c r="J10" s="8">
        <v>143997393</v>
      </c>
      <c r="K10" s="9">
        <v>1.7500000000000002E-2</v>
      </c>
      <c r="L10" s="10">
        <v>16376870</v>
      </c>
      <c r="M10" s="12">
        <v>9</v>
      </c>
      <c r="N10" s="29">
        <v>2021420000000</v>
      </c>
      <c r="O10">
        <v>13899</v>
      </c>
      <c r="P10" s="27">
        <v>1.9E-2</v>
      </c>
      <c r="Q10" s="32">
        <v>2173836</v>
      </c>
      <c r="R10" s="13">
        <v>69500000000</v>
      </c>
      <c r="S10" s="13">
        <v>1306</v>
      </c>
      <c r="V10" s="7" t="s">
        <v>984</v>
      </c>
      <c r="W10" s="6" t="s">
        <v>626</v>
      </c>
      <c r="X10" s="6" t="s">
        <v>613</v>
      </c>
      <c r="Y10" s="14" t="s">
        <v>1158</v>
      </c>
      <c r="Z10" s="1" t="s">
        <v>503</v>
      </c>
    </row>
    <row r="11" spans="1:26" ht="35" x14ac:dyDescent="0.2">
      <c r="A11" s="6">
        <v>10</v>
      </c>
      <c r="B11" s="6" t="s">
        <v>627</v>
      </c>
      <c r="C11" s="6" t="s">
        <v>603</v>
      </c>
      <c r="D11" s="14" t="s">
        <v>812</v>
      </c>
      <c r="E11" s="14" t="s">
        <v>1070</v>
      </c>
      <c r="F11" s="13">
        <v>251</v>
      </c>
      <c r="G11" s="1" t="s">
        <v>504</v>
      </c>
      <c r="H11" s="7" t="s">
        <v>13</v>
      </c>
      <c r="I11" s="14" t="s">
        <v>683</v>
      </c>
      <c r="J11" s="8">
        <v>135472051</v>
      </c>
      <c r="K11" s="9">
        <v>1.6500000000000001E-2</v>
      </c>
      <c r="L11" s="10">
        <v>1000000</v>
      </c>
      <c r="M11" s="12">
        <v>135</v>
      </c>
      <c r="N11" s="29">
        <v>163698000000</v>
      </c>
      <c r="O11">
        <v>1272</v>
      </c>
      <c r="P11" s="27">
        <v>1.5E-3</v>
      </c>
      <c r="Q11" s="32">
        <v>163698</v>
      </c>
      <c r="R11" s="13">
        <v>10550000000</v>
      </c>
      <c r="S11" s="13">
        <v>271</v>
      </c>
      <c r="V11" s="7" t="s">
        <v>13</v>
      </c>
      <c r="W11" s="6" t="s">
        <v>627</v>
      </c>
      <c r="X11" s="6" t="s">
        <v>603</v>
      </c>
      <c r="Y11" s="14" t="s">
        <v>1070</v>
      </c>
      <c r="Z11" s="1" t="s">
        <v>504</v>
      </c>
    </row>
    <row r="12" spans="1:26" ht="35" x14ac:dyDescent="0.2">
      <c r="A12" s="6">
        <v>11</v>
      </c>
      <c r="B12" s="6" t="s">
        <v>625</v>
      </c>
      <c r="C12" s="6" t="s">
        <v>618</v>
      </c>
      <c r="D12" s="14" t="s">
        <v>912</v>
      </c>
      <c r="E12" s="14" t="s">
        <v>1126</v>
      </c>
      <c r="F12" s="13">
        <v>52</v>
      </c>
      <c r="G12" s="1" t="s">
        <v>505</v>
      </c>
      <c r="H12" s="7" t="s">
        <v>14</v>
      </c>
      <c r="I12" s="14" t="s">
        <v>731</v>
      </c>
      <c r="J12" s="8">
        <v>131946900</v>
      </c>
      <c r="K12" s="9">
        <v>1.6E-2</v>
      </c>
      <c r="L12" s="10">
        <v>1943950</v>
      </c>
      <c r="M12" s="12">
        <v>68</v>
      </c>
      <c r="N12" s="29">
        <v>1789110000000</v>
      </c>
      <c r="O12">
        <v>13790</v>
      </c>
      <c r="P12" s="27">
        <v>1.6899999999999998E-2</v>
      </c>
      <c r="Q12" s="32">
        <v>1852723</v>
      </c>
      <c r="R12" s="13">
        <v>86580000000</v>
      </c>
      <c r="S12" s="13">
        <v>1940</v>
      </c>
      <c r="V12" s="7" t="s">
        <v>14</v>
      </c>
      <c r="W12" s="6" t="s">
        <v>625</v>
      </c>
      <c r="X12" s="6" t="s">
        <v>618</v>
      </c>
      <c r="Y12" s="14" t="s">
        <v>1126</v>
      </c>
      <c r="Z12" s="1" t="s">
        <v>505</v>
      </c>
    </row>
    <row r="13" spans="1:26" ht="35" x14ac:dyDescent="0.2">
      <c r="A13" s="6">
        <v>12</v>
      </c>
      <c r="B13" s="6" t="s">
        <v>624</v>
      </c>
      <c r="C13" s="6" t="s">
        <v>608</v>
      </c>
      <c r="D13" s="14" t="s">
        <v>936</v>
      </c>
      <c r="E13" s="14" t="s">
        <v>1101</v>
      </c>
      <c r="F13" s="13">
        <v>81</v>
      </c>
      <c r="G13" s="1" t="s">
        <v>506</v>
      </c>
      <c r="H13" s="7" t="s">
        <v>15</v>
      </c>
      <c r="I13" s="14" t="s">
        <v>710</v>
      </c>
      <c r="J13" s="8">
        <v>123103479</v>
      </c>
      <c r="K13" s="9">
        <v>1.4999999999999999E-2</v>
      </c>
      <c r="L13" s="10">
        <v>364555</v>
      </c>
      <c r="M13" s="12">
        <v>338</v>
      </c>
      <c r="N13" s="29">
        <v>4204490000000</v>
      </c>
      <c r="O13">
        <v>33806</v>
      </c>
      <c r="P13" s="27">
        <v>3.9600000000000003E-2</v>
      </c>
      <c r="Q13" s="32">
        <v>4026211</v>
      </c>
      <c r="R13" s="13">
        <v>81450000000</v>
      </c>
      <c r="S13" s="13">
        <v>1741</v>
      </c>
      <c r="V13" s="7" t="s">
        <v>15</v>
      </c>
      <c r="W13" s="6" t="s">
        <v>624</v>
      </c>
      <c r="X13" s="6" t="s">
        <v>608</v>
      </c>
      <c r="Y13" s="14" t="s">
        <v>1101</v>
      </c>
      <c r="Z13" s="1" t="s">
        <v>506</v>
      </c>
    </row>
    <row r="14" spans="1:26" ht="35" x14ac:dyDescent="0.2">
      <c r="A14" s="6">
        <v>13</v>
      </c>
      <c r="B14" s="6" t="s">
        <v>627</v>
      </c>
      <c r="C14" s="6" t="s">
        <v>604</v>
      </c>
      <c r="D14" s="14" t="s">
        <v>856</v>
      </c>
      <c r="E14" s="14" t="s">
        <v>1064</v>
      </c>
      <c r="F14" s="13">
        <v>20</v>
      </c>
      <c r="G14" s="1" t="s">
        <v>507</v>
      </c>
      <c r="H14" s="7" t="s">
        <v>16</v>
      </c>
      <c r="I14" s="14" t="s">
        <v>677</v>
      </c>
      <c r="J14" s="8">
        <v>118365995</v>
      </c>
      <c r="K14" s="9">
        <v>1.44E-2</v>
      </c>
      <c r="L14" s="10">
        <v>995450</v>
      </c>
      <c r="M14" s="12">
        <v>119</v>
      </c>
      <c r="N14" s="29">
        <v>396002000000</v>
      </c>
      <c r="O14">
        <v>3457</v>
      </c>
      <c r="P14" s="27">
        <v>3.7000000000000002E-3</v>
      </c>
      <c r="Q14" s="32">
        <v>389050</v>
      </c>
      <c r="R14" s="13">
        <v>77500000000</v>
      </c>
      <c r="S14" s="13">
        <v>2048</v>
      </c>
      <c r="V14" s="7" t="s">
        <v>16</v>
      </c>
      <c r="W14" s="6" t="s">
        <v>627</v>
      </c>
      <c r="X14" s="6" t="s">
        <v>604</v>
      </c>
      <c r="Y14" s="14" t="s">
        <v>1064</v>
      </c>
      <c r="Z14" s="1" t="s">
        <v>507</v>
      </c>
    </row>
    <row r="15" spans="1:26" ht="35" x14ac:dyDescent="0.2">
      <c r="A15" s="6">
        <v>14</v>
      </c>
      <c r="B15" s="6" t="s">
        <v>624</v>
      </c>
      <c r="C15" s="6" t="s">
        <v>609</v>
      </c>
      <c r="D15" s="14" t="s">
        <v>922</v>
      </c>
      <c r="E15" s="14" t="s">
        <v>1153</v>
      </c>
      <c r="F15" s="13">
        <v>63</v>
      </c>
      <c r="G15" s="1" t="s">
        <v>508</v>
      </c>
      <c r="H15" s="7" t="s">
        <v>17</v>
      </c>
      <c r="I15" s="14" t="s">
        <v>753</v>
      </c>
      <c r="J15" s="8">
        <v>116786962</v>
      </c>
      <c r="K15" s="9">
        <v>1.4200000000000001E-2</v>
      </c>
      <c r="L15" s="10">
        <v>298170</v>
      </c>
      <c r="M15" s="12">
        <v>392</v>
      </c>
      <c r="N15" s="29">
        <v>437146000000</v>
      </c>
      <c r="O15">
        <v>3805</v>
      </c>
      <c r="P15" s="27">
        <v>4.1000000000000003E-3</v>
      </c>
      <c r="Q15" s="32">
        <v>461618</v>
      </c>
      <c r="R15" s="13">
        <v>85140000000</v>
      </c>
      <c r="S15" s="13">
        <v>2185</v>
      </c>
      <c r="V15" s="7" t="s">
        <v>17</v>
      </c>
      <c r="W15" s="6" t="s">
        <v>624</v>
      </c>
      <c r="X15" s="6" t="s">
        <v>609</v>
      </c>
      <c r="Y15" s="14" t="s">
        <v>1153</v>
      </c>
      <c r="Z15" s="1" t="s">
        <v>508</v>
      </c>
    </row>
    <row r="16" spans="1:26" ht="35" x14ac:dyDescent="0.2">
      <c r="A16" s="6">
        <v>15</v>
      </c>
      <c r="B16" s="6" t="s">
        <v>627</v>
      </c>
      <c r="C16" s="6" t="s">
        <v>605</v>
      </c>
      <c r="D16" s="14" t="s">
        <v>809</v>
      </c>
      <c r="E16" s="14" t="s">
        <v>1062</v>
      </c>
      <c r="F16" s="13">
        <v>243</v>
      </c>
      <c r="G16" s="1" t="s">
        <v>509</v>
      </c>
      <c r="H16" s="7" t="s">
        <v>18</v>
      </c>
      <c r="I16" s="14" t="s">
        <v>665</v>
      </c>
      <c r="J16" s="8">
        <v>112832473</v>
      </c>
      <c r="K16" s="9">
        <v>1.37E-2</v>
      </c>
      <c r="L16" s="10">
        <v>2267050</v>
      </c>
      <c r="M16" s="12">
        <v>50</v>
      </c>
      <c r="N16" s="29">
        <v>66383287003</v>
      </c>
      <c r="O16">
        <v>628</v>
      </c>
      <c r="P16" s="27">
        <v>6.3000000000000003E-4</v>
      </c>
      <c r="Q16" s="32">
        <v>70749</v>
      </c>
      <c r="R16" s="13">
        <v>683600000</v>
      </c>
      <c r="S16" s="13">
        <v>32</v>
      </c>
      <c r="V16" s="7" t="s">
        <v>18</v>
      </c>
      <c r="W16" s="6" t="s">
        <v>627</v>
      </c>
      <c r="X16" s="6" t="s">
        <v>605</v>
      </c>
      <c r="Y16" s="14" t="s">
        <v>1062</v>
      </c>
      <c r="Z16" s="1" t="s">
        <v>509</v>
      </c>
    </row>
    <row r="17" spans="1:26" ht="35" x14ac:dyDescent="0.2">
      <c r="A17" s="6">
        <v>16</v>
      </c>
      <c r="B17" s="6" t="s">
        <v>624</v>
      </c>
      <c r="C17" s="6" t="s">
        <v>609</v>
      </c>
      <c r="D17" s="14" t="s">
        <v>949</v>
      </c>
      <c r="E17" s="14" t="s">
        <v>1211</v>
      </c>
      <c r="F17" s="13">
        <v>84</v>
      </c>
      <c r="G17" s="1" t="s">
        <v>510</v>
      </c>
      <c r="H17" s="7" t="s">
        <v>19</v>
      </c>
      <c r="I17" s="14" t="s">
        <v>796</v>
      </c>
      <c r="J17" s="8">
        <v>101598527</v>
      </c>
      <c r="K17" s="9">
        <v>1.23E-2</v>
      </c>
      <c r="L17" s="10">
        <v>310070</v>
      </c>
      <c r="M17" s="12">
        <v>328</v>
      </c>
      <c r="N17" s="29">
        <v>429717000000</v>
      </c>
      <c r="O17">
        <v>4282</v>
      </c>
      <c r="P17" s="27">
        <v>4.0000000000000001E-3</v>
      </c>
      <c r="Q17" s="32">
        <v>476388</v>
      </c>
      <c r="R17" s="13">
        <v>82030000000</v>
      </c>
      <c r="S17" s="13">
        <v>2772</v>
      </c>
      <c r="V17" s="7" t="s">
        <v>19</v>
      </c>
      <c r="W17" s="6" t="s">
        <v>624</v>
      </c>
      <c r="X17" s="6" t="s">
        <v>609</v>
      </c>
      <c r="Y17" s="14" t="s">
        <v>1211</v>
      </c>
      <c r="Z17" s="1" t="s">
        <v>510</v>
      </c>
    </row>
    <row r="18" spans="1:26" ht="35" x14ac:dyDescent="0.2">
      <c r="A18" s="6">
        <v>17</v>
      </c>
      <c r="B18" s="6" t="s">
        <v>624</v>
      </c>
      <c r="C18" s="6" t="s">
        <v>607</v>
      </c>
      <c r="D18" s="14" t="s">
        <v>907</v>
      </c>
      <c r="E18" s="14" t="s">
        <v>1094</v>
      </c>
      <c r="F18" s="13">
        <v>98</v>
      </c>
      <c r="G18" s="1" t="s">
        <v>511</v>
      </c>
      <c r="H18" s="7" t="s">
        <v>20</v>
      </c>
      <c r="I18" s="14" t="s">
        <v>705</v>
      </c>
      <c r="J18" s="8">
        <v>92417681</v>
      </c>
      <c r="K18" s="9">
        <v>1.12E-2</v>
      </c>
      <c r="L18" s="10">
        <v>1628550</v>
      </c>
      <c r="M18" s="12">
        <v>57</v>
      </c>
      <c r="N18" s="29">
        <v>404626000000</v>
      </c>
      <c r="O18">
        <v>4466</v>
      </c>
      <c r="P18" s="27">
        <v>3.8E-3</v>
      </c>
      <c r="Q18" s="32">
        <v>436906</v>
      </c>
      <c r="R18" s="13">
        <v>93300000000</v>
      </c>
      <c r="S18" s="13">
        <v>3638</v>
      </c>
      <c r="V18" s="7" t="s">
        <v>20</v>
      </c>
      <c r="W18" s="6" t="s">
        <v>624</v>
      </c>
      <c r="X18" s="6" t="s">
        <v>607</v>
      </c>
      <c r="Y18" s="14" t="s">
        <v>1094</v>
      </c>
      <c r="Z18" s="1" t="s">
        <v>511</v>
      </c>
    </row>
    <row r="19" spans="1:26" ht="35" x14ac:dyDescent="0.2">
      <c r="A19" s="6">
        <v>18</v>
      </c>
      <c r="B19" s="6" t="s">
        <v>624</v>
      </c>
      <c r="C19" s="6" t="s">
        <v>610</v>
      </c>
      <c r="D19" s="14" t="s">
        <v>927</v>
      </c>
      <c r="E19" s="14" t="s">
        <v>1199</v>
      </c>
      <c r="F19" s="13">
        <v>90</v>
      </c>
      <c r="G19" s="1" t="s">
        <v>512</v>
      </c>
      <c r="H19" s="7" t="s">
        <v>21</v>
      </c>
      <c r="I19" s="14" t="s">
        <v>787</v>
      </c>
      <c r="J19" s="8">
        <v>87685426</v>
      </c>
      <c r="K19" s="9">
        <v>1.0699999999999999E-2</v>
      </c>
      <c r="L19" s="10">
        <v>769630</v>
      </c>
      <c r="M19" s="12">
        <v>114</v>
      </c>
      <c r="N19" s="29">
        <v>1118250000000</v>
      </c>
      <c r="O19">
        <v>12814</v>
      </c>
      <c r="P19" s="27">
        <v>1.0500000000000001E-2</v>
      </c>
      <c r="Q19" s="32">
        <v>1323255</v>
      </c>
      <c r="R19" s="13">
        <v>58950000000</v>
      </c>
      <c r="S19" s="13">
        <v>1978</v>
      </c>
      <c r="V19" s="7" t="s">
        <v>21</v>
      </c>
      <c r="W19" s="6" t="s">
        <v>624</v>
      </c>
      <c r="X19" s="6" t="s">
        <v>610</v>
      </c>
      <c r="Y19" s="14" t="s">
        <v>1199</v>
      </c>
      <c r="Z19" s="1" t="s">
        <v>512</v>
      </c>
    </row>
    <row r="20" spans="1:26" ht="35" x14ac:dyDescent="0.2">
      <c r="A20" s="6">
        <v>19</v>
      </c>
      <c r="B20" s="6" t="s">
        <v>626</v>
      </c>
      <c r="C20" s="6" t="s">
        <v>614</v>
      </c>
      <c r="D20" s="14" t="s">
        <v>955</v>
      </c>
      <c r="E20" s="14" t="s">
        <v>1077</v>
      </c>
      <c r="F20" s="13">
        <v>49</v>
      </c>
      <c r="G20" s="1" t="s">
        <v>513</v>
      </c>
      <c r="H20" s="7" t="s">
        <v>22</v>
      </c>
      <c r="I20" s="14" t="s">
        <v>691</v>
      </c>
      <c r="J20" s="8">
        <v>84075075</v>
      </c>
      <c r="K20" s="9">
        <v>1.0200000000000001E-2</v>
      </c>
      <c r="L20" s="10">
        <v>348560</v>
      </c>
      <c r="M20" s="12">
        <v>241</v>
      </c>
      <c r="N20" s="29">
        <v>4525700000000</v>
      </c>
      <c r="O20">
        <v>53528</v>
      </c>
      <c r="P20" s="27">
        <v>4.2599999999999999E-2</v>
      </c>
      <c r="Q20" s="32">
        <v>4659929</v>
      </c>
      <c r="R20" s="13">
        <v>25330000000</v>
      </c>
      <c r="S20" s="13">
        <v>856</v>
      </c>
      <c r="V20" s="7" t="s">
        <v>22</v>
      </c>
      <c r="W20" s="6" t="s">
        <v>626</v>
      </c>
      <c r="X20" s="6" t="s">
        <v>614</v>
      </c>
      <c r="Y20" s="14" t="s">
        <v>1077</v>
      </c>
      <c r="Z20" s="1" t="s">
        <v>513</v>
      </c>
    </row>
    <row r="21" spans="1:26" ht="35" x14ac:dyDescent="0.2">
      <c r="A21" s="6">
        <v>20</v>
      </c>
      <c r="B21" s="6" t="s">
        <v>624</v>
      </c>
      <c r="C21" s="6" t="s">
        <v>609</v>
      </c>
      <c r="D21" s="14" t="s">
        <v>946</v>
      </c>
      <c r="E21" s="14" t="s">
        <v>1192</v>
      </c>
      <c r="F21" s="13">
        <v>66</v>
      </c>
      <c r="G21" s="1" t="s">
        <v>514</v>
      </c>
      <c r="H21" s="7" t="s">
        <v>23</v>
      </c>
      <c r="I21" s="14" t="s">
        <v>782</v>
      </c>
      <c r="J21" s="8">
        <v>71619863</v>
      </c>
      <c r="K21" s="9">
        <v>8.6999999999999994E-3</v>
      </c>
      <c r="L21" s="10">
        <v>510890</v>
      </c>
      <c r="M21" s="12">
        <v>140</v>
      </c>
      <c r="N21" s="29">
        <v>514969000000</v>
      </c>
      <c r="O21">
        <v>7182</v>
      </c>
      <c r="P21" s="27">
        <v>4.8999999999999998E-3</v>
      </c>
      <c r="Q21" s="32">
        <v>526411</v>
      </c>
      <c r="R21" s="13">
        <v>57310000000</v>
      </c>
      <c r="S21" s="13">
        <v>2340</v>
      </c>
      <c r="V21" s="7" t="s">
        <v>23</v>
      </c>
      <c r="W21" s="6" t="s">
        <v>624</v>
      </c>
      <c r="X21" s="6" t="s">
        <v>609</v>
      </c>
      <c r="Y21" s="14" t="s">
        <v>1192</v>
      </c>
      <c r="Z21" s="1" t="s">
        <v>514</v>
      </c>
    </row>
    <row r="22" spans="1:26" ht="35" x14ac:dyDescent="0.2">
      <c r="A22" s="6">
        <v>21</v>
      </c>
      <c r="B22" s="6" t="s">
        <v>627</v>
      </c>
      <c r="C22" s="6" t="s">
        <v>603</v>
      </c>
      <c r="D22" s="14" t="s">
        <v>827</v>
      </c>
      <c r="E22" s="14" t="s">
        <v>1191</v>
      </c>
      <c r="F22" s="13">
        <v>255</v>
      </c>
      <c r="G22" s="1" t="s">
        <v>515</v>
      </c>
      <c r="H22" s="7" t="s">
        <v>24</v>
      </c>
      <c r="I22" s="14" t="s">
        <v>1230</v>
      </c>
      <c r="J22" s="8">
        <v>70545865</v>
      </c>
      <c r="K22" s="9">
        <v>8.6E-3</v>
      </c>
      <c r="L22" s="10">
        <v>885800</v>
      </c>
      <c r="M22" s="12">
        <v>80</v>
      </c>
      <c r="N22" s="29">
        <v>79062403821</v>
      </c>
      <c r="O22">
        <v>1187</v>
      </c>
      <c r="P22" s="27">
        <v>7.3999999999999999E-4</v>
      </c>
      <c r="Q22" s="32">
        <v>78780</v>
      </c>
      <c r="R22" s="13">
        <v>5184000000</v>
      </c>
      <c r="S22" s="13">
        <v>393</v>
      </c>
      <c r="V22" s="7" t="s">
        <v>24</v>
      </c>
      <c r="W22" s="6" t="s">
        <v>627</v>
      </c>
      <c r="X22" s="6" t="s">
        <v>603</v>
      </c>
      <c r="Y22" s="14" t="s">
        <v>1191</v>
      </c>
      <c r="Z22" s="1" t="s">
        <v>515</v>
      </c>
    </row>
    <row r="23" spans="1:26" ht="35" x14ac:dyDescent="0.2">
      <c r="A23" s="6">
        <v>22</v>
      </c>
      <c r="B23" s="6" t="s">
        <v>626</v>
      </c>
      <c r="C23" s="6" t="s">
        <v>615</v>
      </c>
      <c r="D23" s="14" t="s">
        <v>990</v>
      </c>
      <c r="E23" s="14" t="s">
        <v>1205</v>
      </c>
      <c r="F23" s="13">
        <v>44</v>
      </c>
      <c r="G23" s="1" t="s">
        <v>516</v>
      </c>
      <c r="H23" s="7" t="s">
        <v>25</v>
      </c>
      <c r="I23" s="14" t="s">
        <v>679</v>
      </c>
      <c r="J23" s="8">
        <v>69551332</v>
      </c>
      <c r="K23" s="9">
        <v>8.3999999999999995E-3</v>
      </c>
      <c r="L23" s="10">
        <v>241930</v>
      </c>
      <c r="M23" s="12">
        <v>287</v>
      </c>
      <c r="N23" s="29">
        <v>3380850000000</v>
      </c>
      <c r="O23">
        <v>49224</v>
      </c>
      <c r="P23" s="27">
        <v>3.1800000000000002E-2</v>
      </c>
      <c r="Q23" s="32">
        <v>3643834</v>
      </c>
      <c r="R23" s="13">
        <v>8420000000</v>
      </c>
      <c r="S23" s="13">
        <v>350</v>
      </c>
      <c r="V23" s="7" t="s">
        <v>25</v>
      </c>
      <c r="W23" s="6" t="s">
        <v>626</v>
      </c>
      <c r="X23" s="6" t="s">
        <v>615</v>
      </c>
      <c r="Y23" s="14" t="s">
        <v>1205</v>
      </c>
      <c r="Z23" s="1" t="s">
        <v>516</v>
      </c>
    </row>
    <row r="24" spans="1:26" ht="35" x14ac:dyDescent="0.2">
      <c r="A24" s="6">
        <v>23</v>
      </c>
      <c r="B24" s="6" t="s">
        <v>626</v>
      </c>
      <c r="C24" s="6" t="s">
        <v>614</v>
      </c>
      <c r="D24" s="14" t="s">
        <v>954</v>
      </c>
      <c r="E24" s="14" t="s">
        <v>1073</v>
      </c>
      <c r="F24" s="13">
        <v>33</v>
      </c>
      <c r="G24" s="1" t="s">
        <v>519</v>
      </c>
      <c r="H24" s="7" t="s">
        <v>26</v>
      </c>
      <c r="I24" s="14" t="s">
        <v>687</v>
      </c>
      <c r="J24" s="8">
        <v>66650804</v>
      </c>
      <c r="K24" s="9">
        <v>8.0999999999999996E-3</v>
      </c>
      <c r="L24" s="10">
        <v>547557</v>
      </c>
      <c r="M24" s="12">
        <v>122</v>
      </c>
      <c r="N24" s="29">
        <v>3051830000000</v>
      </c>
      <c r="O24">
        <v>45934</v>
      </c>
      <c r="P24" s="27">
        <v>2.87E-2</v>
      </c>
      <c r="Q24" s="32">
        <v>3162079</v>
      </c>
      <c r="R24" s="13">
        <v>29370000000</v>
      </c>
      <c r="S24" s="13">
        <v>1236</v>
      </c>
      <c r="V24" s="7" t="s">
        <v>26</v>
      </c>
      <c r="W24" s="6" t="s">
        <v>626</v>
      </c>
      <c r="X24" s="6" t="s">
        <v>614</v>
      </c>
      <c r="Y24" s="14" t="s">
        <v>1073</v>
      </c>
      <c r="Z24" s="1" t="s">
        <v>519</v>
      </c>
    </row>
    <row r="25" spans="1:26" ht="35" x14ac:dyDescent="0.2">
      <c r="A25" s="6">
        <v>24</v>
      </c>
      <c r="B25" s="6" t="s">
        <v>627</v>
      </c>
      <c r="C25" s="6" t="s">
        <v>606</v>
      </c>
      <c r="D25" s="14" t="s">
        <v>824</v>
      </c>
      <c r="E25" s="14" t="s">
        <v>1177</v>
      </c>
      <c r="F25" s="13">
        <v>27</v>
      </c>
      <c r="G25" s="1" t="s">
        <v>520</v>
      </c>
      <c r="H25" s="7" t="s">
        <v>27</v>
      </c>
      <c r="I25" s="14" t="s">
        <v>1229</v>
      </c>
      <c r="J25" s="8">
        <v>64747319</v>
      </c>
      <c r="K25" s="9">
        <v>7.9000000000000008E-3</v>
      </c>
      <c r="L25" s="10">
        <v>1213090</v>
      </c>
      <c r="M25" s="12">
        <v>53</v>
      </c>
      <c r="N25" s="29">
        <v>380699000000</v>
      </c>
      <c r="O25">
        <v>6023</v>
      </c>
      <c r="P25" s="27">
        <v>3.5999999999999999E-3</v>
      </c>
      <c r="Q25" s="32">
        <v>400261</v>
      </c>
      <c r="R25" s="13">
        <v>15500000000</v>
      </c>
      <c r="S25" s="13">
        <v>777</v>
      </c>
      <c r="V25" s="7" t="s">
        <v>27</v>
      </c>
      <c r="W25" s="6" t="s">
        <v>627</v>
      </c>
      <c r="X25" s="6" t="s">
        <v>606</v>
      </c>
      <c r="Y25" s="14" t="s">
        <v>1177</v>
      </c>
      <c r="Z25" s="1" t="s">
        <v>520</v>
      </c>
    </row>
    <row r="26" spans="1:26" ht="35" x14ac:dyDescent="0.2">
      <c r="A26" s="6">
        <v>25</v>
      </c>
      <c r="B26" s="6" t="s">
        <v>626</v>
      </c>
      <c r="C26" s="6" t="s">
        <v>616</v>
      </c>
      <c r="D26" s="14" t="s">
        <v>958</v>
      </c>
      <c r="E26" s="14" t="s">
        <v>1098</v>
      </c>
      <c r="F26" s="13">
        <v>39</v>
      </c>
      <c r="G26" s="1" t="s">
        <v>521</v>
      </c>
      <c r="H26" s="7" t="s">
        <v>28</v>
      </c>
      <c r="I26" s="14" t="s">
        <v>708</v>
      </c>
      <c r="J26" s="8">
        <v>59146260</v>
      </c>
      <c r="K26" s="9">
        <v>7.1999999999999998E-3</v>
      </c>
      <c r="L26" s="10">
        <v>294140</v>
      </c>
      <c r="M26" s="12">
        <v>201</v>
      </c>
      <c r="N26" s="29">
        <v>2300940000000</v>
      </c>
      <c r="O26">
        <v>38672</v>
      </c>
      <c r="P26" s="27">
        <v>2.1700000000000001E-2</v>
      </c>
      <c r="Q26" s="32">
        <v>2372775</v>
      </c>
      <c r="R26" s="13">
        <v>34190000000</v>
      </c>
      <c r="S26" s="13">
        <v>1546</v>
      </c>
      <c r="V26" s="7" t="s">
        <v>28</v>
      </c>
      <c r="W26" s="6" t="s">
        <v>626</v>
      </c>
      <c r="X26" s="6" t="s">
        <v>616</v>
      </c>
      <c r="Y26" s="14" t="s">
        <v>1098</v>
      </c>
      <c r="Z26" s="1" t="s">
        <v>521</v>
      </c>
    </row>
    <row r="27" spans="1:26" ht="35" x14ac:dyDescent="0.2">
      <c r="A27" s="6">
        <v>26</v>
      </c>
      <c r="B27" s="6" t="s">
        <v>627</v>
      </c>
      <c r="C27" s="6" t="s">
        <v>603</v>
      </c>
      <c r="D27" s="14" t="s">
        <v>813</v>
      </c>
      <c r="E27" s="14" t="s">
        <v>1104</v>
      </c>
      <c r="F27" s="13">
        <v>254</v>
      </c>
      <c r="G27" s="1" t="s">
        <v>522</v>
      </c>
      <c r="H27" s="7" t="s">
        <v>29</v>
      </c>
      <c r="I27" s="14" t="s">
        <v>712</v>
      </c>
      <c r="J27" s="8">
        <v>57532493</v>
      </c>
      <c r="K27" s="9">
        <v>7.0000000000000001E-3</v>
      </c>
      <c r="L27" s="10">
        <v>569140</v>
      </c>
      <c r="M27" s="12">
        <v>101</v>
      </c>
      <c r="N27" s="29">
        <v>108039000000</v>
      </c>
      <c r="O27">
        <v>1952</v>
      </c>
      <c r="P27" s="27">
        <v>1E-3</v>
      </c>
      <c r="Q27" s="32">
        <v>124499</v>
      </c>
      <c r="R27" s="13">
        <v>4032000000</v>
      </c>
      <c r="S27" s="13">
        <v>229</v>
      </c>
      <c r="V27" s="7" t="s">
        <v>29</v>
      </c>
      <c r="W27" s="6" t="s">
        <v>627</v>
      </c>
      <c r="X27" s="6" t="s">
        <v>603</v>
      </c>
      <c r="Y27" s="14" t="s">
        <v>1104</v>
      </c>
      <c r="Z27" s="1" t="s">
        <v>522</v>
      </c>
    </row>
    <row r="28" spans="1:26" ht="35" x14ac:dyDescent="0.2">
      <c r="A28" s="6">
        <v>27</v>
      </c>
      <c r="B28" s="6" t="s">
        <v>624</v>
      </c>
      <c r="C28" s="6" t="s">
        <v>609</v>
      </c>
      <c r="D28" s="14" t="s">
        <v>914</v>
      </c>
      <c r="E28" s="14" t="s">
        <v>1134</v>
      </c>
      <c r="F28" s="13">
        <v>95</v>
      </c>
      <c r="G28" s="1" t="s">
        <v>505</v>
      </c>
      <c r="H28" s="7" t="s">
        <v>30</v>
      </c>
      <c r="I28" s="14" t="s">
        <v>801</v>
      </c>
      <c r="J28" s="8">
        <v>54850648</v>
      </c>
      <c r="K28" s="9">
        <v>6.7000000000000002E-3</v>
      </c>
      <c r="L28" s="10">
        <v>653290</v>
      </c>
      <c r="M28" s="12">
        <v>84</v>
      </c>
      <c r="N28" s="29">
        <v>66757619000</v>
      </c>
      <c r="O28">
        <v>1233</v>
      </c>
      <c r="P28" s="27">
        <v>6.3000000000000003E-4</v>
      </c>
      <c r="Q28" s="32">
        <v>74080</v>
      </c>
      <c r="R28" s="13">
        <v>33230000000</v>
      </c>
      <c r="S28" s="13">
        <v>2010</v>
      </c>
      <c r="V28" s="7" t="s">
        <v>30</v>
      </c>
      <c r="W28" s="6" t="s">
        <v>624</v>
      </c>
      <c r="X28" s="6" t="s">
        <v>609</v>
      </c>
      <c r="Y28" s="14" t="s">
        <v>1134</v>
      </c>
      <c r="Z28" s="1" t="s">
        <v>505</v>
      </c>
    </row>
    <row r="29" spans="1:26" ht="35" x14ac:dyDescent="0.2">
      <c r="A29" s="6">
        <v>28</v>
      </c>
      <c r="B29" s="6" t="s">
        <v>625</v>
      </c>
      <c r="C29" s="6" t="s">
        <v>617</v>
      </c>
      <c r="D29" s="14" t="s">
        <v>998</v>
      </c>
      <c r="E29" s="14" t="s">
        <v>1047</v>
      </c>
      <c r="F29" s="13">
        <v>57</v>
      </c>
      <c r="G29" s="1" t="s">
        <v>523</v>
      </c>
      <c r="H29" s="7" t="s">
        <v>31</v>
      </c>
      <c r="I29" s="14" t="s">
        <v>663</v>
      </c>
      <c r="J29" s="8">
        <v>53425635</v>
      </c>
      <c r="K29" s="9">
        <v>6.4999999999999997E-3</v>
      </c>
      <c r="L29" s="10">
        <v>1109500</v>
      </c>
      <c r="M29" s="12">
        <v>48</v>
      </c>
      <c r="N29" s="29">
        <v>363494000000</v>
      </c>
      <c r="O29">
        <v>6947</v>
      </c>
      <c r="P29" s="27">
        <v>3.3999999999999998E-3</v>
      </c>
      <c r="Q29" s="32">
        <v>418542</v>
      </c>
      <c r="R29" s="13">
        <v>11770000000</v>
      </c>
      <c r="S29" s="13">
        <v>737</v>
      </c>
      <c r="V29" s="7" t="s">
        <v>31</v>
      </c>
      <c r="W29" s="6" t="s">
        <v>625</v>
      </c>
      <c r="X29" s="6" t="s">
        <v>617</v>
      </c>
      <c r="Y29" s="14" t="s">
        <v>1047</v>
      </c>
      <c r="Z29" s="1" t="s">
        <v>523</v>
      </c>
    </row>
    <row r="30" spans="1:26" ht="35" x14ac:dyDescent="0.2">
      <c r="A30" s="6">
        <v>29</v>
      </c>
      <c r="B30" s="6" t="s">
        <v>624</v>
      </c>
      <c r="C30" s="6" t="s">
        <v>608</v>
      </c>
      <c r="D30" s="14" t="s">
        <v>938</v>
      </c>
      <c r="E30" s="14" t="s">
        <v>1178</v>
      </c>
      <c r="F30" s="13">
        <v>82</v>
      </c>
      <c r="G30" s="1" t="s">
        <v>524</v>
      </c>
      <c r="H30" s="7" t="s">
        <v>32</v>
      </c>
      <c r="I30" s="14" t="s">
        <v>773</v>
      </c>
      <c r="J30" s="8">
        <v>51667029</v>
      </c>
      <c r="K30" s="9">
        <v>6.3E-3</v>
      </c>
      <c r="L30" s="10">
        <v>97230</v>
      </c>
      <c r="M30" s="12">
        <v>531</v>
      </c>
      <c r="N30" s="29">
        <v>1712790000000</v>
      </c>
      <c r="O30">
        <v>33098</v>
      </c>
      <c r="P30" s="27">
        <v>1.61E-2</v>
      </c>
      <c r="Q30" s="32">
        <v>1712793</v>
      </c>
      <c r="R30" s="13">
        <v>29200000000</v>
      </c>
      <c r="S30" s="13">
        <v>1672</v>
      </c>
      <c r="V30" s="7" t="s">
        <v>32</v>
      </c>
      <c r="W30" s="6" t="s">
        <v>624</v>
      </c>
      <c r="X30" s="6" t="s">
        <v>608</v>
      </c>
      <c r="Y30" s="14" t="s">
        <v>1178</v>
      </c>
      <c r="Z30" s="1" t="s">
        <v>524</v>
      </c>
    </row>
    <row r="31" spans="1:26" ht="35" x14ac:dyDescent="0.2">
      <c r="A31" s="6">
        <v>30</v>
      </c>
      <c r="B31" s="6" t="s">
        <v>627</v>
      </c>
      <c r="C31" s="6" t="s">
        <v>604</v>
      </c>
      <c r="D31" s="14" t="s">
        <v>826</v>
      </c>
      <c r="E31" s="14" t="s">
        <v>1185</v>
      </c>
      <c r="F31" s="13">
        <v>249</v>
      </c>
      <c r="G31" s="1" t="s">
        <v>526</v>
      </c>
      <c r="H31" s="7" t="s">
        <v>33</v>
      </c>
      <c r="I31" s="14" t="s">
        <v>776</v>
      </c>
      <c r="J31" s="8">
        <v>51662147</v>
      </c>
      <c r="K31" s="9">
        <v>6.3E-3</v>
      </c>
      <c r="L31" s="10">
        <v>1765048</v>
      </c>
      <c r="M31" s="12">
        <v>29</v>
      </c>
      <c r="N31" s="29">
        <v>109266000000</v>
      </c>
      <c r="O31">
        <v>2183</v>
      </c>
      <c r="P31" s="27">
        <v>1E-3</v>
      </c>
      <c r="Q31" s="32">
        <v>49910</v>
      </c>
      <c r="R31" s="13">
        <v>26930000000</v>
      </c>
      <c r="S31" s="13">
        <v>2041</v>
      </c>
      <c r="V31" s="7" t="s">
        <v>33</v>
      </c>
      <c r="W31" s="6" t="s">
        <v>627</v>
      </c>
      <c r="X31" s="6" t="s">
        <v>604</v>
      </c>
      <c r="Y31" s="14" t="s">
        <v>1185</v>
      </c>
      <c r="Z31" s="1" t="s">
        <v>526</v>
      </c>
    </row>
    <row r="32" spans="1:26" ht="35" x14ac:dyDescent="0.2">
      <c r="A32" s="6">
        <v>31</v>
      </c>
      <c r="B32" s="6" t="s">
        <v>627</v>
      </c>
      <c r="C32" s="6" t="s">
        <v>603</v>
      </c>
      <c r="D32" s="14" t="s">
        <v>828</v>
      </c>
      <c r="E32" s="14" t="s">
        <v>1202</v>
      </c>
      <c r="F32" s="13">
        <v>256</v>
      </c>
      <c r="G32" s="1" t="s">
        <v>527</v>
      </c>
      <c r="H32" s="7" t="s">
        <v>34</v>
      </c>
      <c r="I32" s="14" t="s">
        <v>789</v>
      </c>
      <c r="J32" s="8">
        <v>51384894</v>
      </c>
      <c r="K32" s="9">
        <v>6.1999999999999998E-3</v>
      </c>
      <c r="L32" s="10">
        <v>199810</v>
      </c>
      <c r="M32" s="12">
        <v>257</v>
      </c>
      <c r="N32" s="29">
        <v>48768955863</v>
      </c>
      <c r="O32">
        <v>1002</v>
      </c>
      <c r="P32" s="27">
        <v>4.6000000000000001E-4</v>
      </c>
      <c r="Q32" s="32">
        <v>53652</v>
      </c>
      <c r="R32" s="13">
        <v>637000000</v>
      </c>
      <c r="S32" s="13">
        <v>57</v>
      </c>
      <c r="V32" s="7" t="s">
        <v>34</v>
      </c>
      <c r="W32" s="6" t="s">
        <v>627</v>
      </c>
      <c r="X32" s="6" t="s">
        <v>603</v>
      </c>
      <c r="Y32" s="14" t="s">
        <v>1202</v>
      </c>
      <c r="Z32" s="1" t="s">
        <v>527</v>
      </c>
    </row>
    <row r="33" spans="1:26" ht="35" x14ac:dyDescent="0.2">
      <c r="A33" s="6">
        <v>32</v>
      </c>
      <c r="B33" s="6" t="s">
        <v>626</v>
      </c>
      <c r="C33" s="6" t="s">
        <v>616</v>
      </c>
      <c r="D33" s="14" t="s">
        <v>963</v>
      </c>
      <c r="E33" s="14" t="s">
        <v>1180</v>
      </c>
      <c r="F33" s="13">
        <v>34</v>
      </c>
      <c r="G33" s="1" t="s">
        <v>528</v>
      </c>
      <c r="H33" s="7" t="s">
        <v>35</v>
      </c>
      <c r="I33" s="14" t="s">
        <v>775</v>
      </c>
      <c r="J33" s="8">
        <v>47889958</v>
      </c>
      <c r="K33" s="9">
        <v>5.7999999999999996E-3</v>
      </c>
      <c r="L33" s="10">
        <v>498800</v>
      </c>
      <c r="M33" s="12">
        <v>96</v>
      </c>
      <c r="N33" s="29">
        <v>1620090000000</v>
      </c>
      <c r="O33">
        <v>33814</v>
      </c>
      <c r="P33" s="27">
        <v>1.5299999999999999E-2</v>
      </c>
      <c r="Q33" s="32">
        <v>1722746</v>
      </c>
      <c r="R33" s="13">
        <v>32850000000</v>
      </c>
      <c r="S33" s="13">
        <v>1926</v>
      </c>
      <c r="V33" s="7" t="s">
        <v>35</v>
      </c>
      <c r="W33" s="6" t="s">
        <v>626</v>
      </c>
      <c r="X33" s="6" t="s">
        <v>616</v>
      </c>
      <c r="Y33" s="14" t="s">
        <v>1180</v>
      </c>
      <c r="Z33" s="1" t="s">
        <v>528</v>
      </c>
    </row>
    <row r="34" spans="1:26" ht="35" x14ac:dyDescent="0.2">
      <c r="A34" s="6">
        <v>33</v>
      </c>
      <c r="B34" s="6" t="s">
        <v>627</v>
      </c>
      <c r="C34" s="6" t="s">
        <v>604</v>
      </c>
      <c r="D34" s="14" t="s">
        <v>853</v>
      </c>
      <c r="E34" s="14" t="s">
        <v>1010</v>
      </c>
      <c r="F34" s="13">
        <v>213</v>
      </c>
      <c r="G34" s="1" t="s">
        <v>529</v>
      </c>
      <c r="H34" s="7" t="s">
        <v>36</v>
      </c>
      <c r="I34" s="14" t="s">
        <v>632</v>
      </c>
      <c r="J34" s="8">
        <v>47435312</v>
      </c>
      <c r="K34" s="9">
        <v>5.7999999999999996E-3</v>
      </c>
      <c r="L34" s="10">
        <v>2381740</v>
      </c>
      <c r="M34" s="12">
        <v>20</v>
      </c>
      <c r="N34" s="29">
        <v>247626000000</v>
      </c>
      <c r="O34">
        <v>5364</v>
      </c>
      <c r="P34" s="27">
        <v>2.3E-3</v>
      </c>
      <c r="Q34" s="32">
        <v>263620</v>
      </c>
      <c r="R34" s="13">
        <v>9978000000</v>
      </c>
      <c r="S34" s="13">
        <v>669</v>
      </c>
      <c r="V34" s="7" t="s">
        <v>36</v>
      </c>
      <c r="W34" s="6" t="s">
        <v>627</v>
      </c>
      <c r="X34" s="6" t="s">
        <v>604</v>
      </c>
      <c r="Y34" s="14" t="s">
        <v>1010</v>
      </c>
      <c r="Z34" s="1" t="s">
        <v>529</v>
      </c>
    </row>
    <row r="35" spans="1:26" ht="35" x14ac:dyDescent="0.2">
      <c r="A35" s="6">
        <v>34</v>
      </c>
      <c r="B35" s="6" t="s">
        <v>624</v>
      </c>
      <c r="C35" s="6" t="s">
        <v>610</v>
      </c>
      <c r="D35" s="14" t="s">
        <v>857</v>
      </c>
      <c r="E35" s="14" t="s">
        <v>1095</v>
      </c>
      <c r="F35" s="13">
        <v>964</v>
      </c>
      <c r="G35" s="1" t="s">
        <v>530</v>
      </c>
      <c r="H35" s="7" t="s">
        <v>37</v>
      </c>
      <c r="I35" s="14" t="s">
        <v>706</v>
      </c>
      <c r="J35" s="8">
        <v>47020774</v>
      </c>
      <c r="K35" s="9">
        <v>5.7000000000000002E-3</v>
      </c>
      <c r="L35" s="10">
        <v>434320</v>
      </c>
      <c r="M35" s="12">
        <v>108</v>
      </c>
      <c r="N35" s="29">
        <v>250843000000</v>
      </c>
      <c r="O35">
        <v>5565</v>
      </c>
      <c r="P35" s="27">
        <v>2.3999999999999998E-3</v>
      </c>
      <c r="Q35" s="32">
        <v>279641</v>
      </c>
      <c r="R35" s="13">
        <v>38550000000</v>
      </c>
      <c r="S35" s="13">
        <v>2745</v>
      </c>
      <c r="V35" s="7" t="s">
        <v>37</v>
      </c>
      <c r="W35" s="6" t="s">
        <v>624</v>
      </c>
      <c r="X35" s="6" t="s">
        <v>610</v>
      </c>
      <c r="Y35" s="14" t="s">
        <v>1095</v>
      </c>
      <c r="Z35" s="1" t="s">
        <v>530</v>
      </c>
    </row>
    <row r="36" spans="1:26" ht="35" x14ac:dyDescent="0.2">
      <c r="A36" s="6">
        <v>35</v>
      </c>
      <c r="B36" s="6" t="s">
        <v>625</v>
      </c>
      <c r="C36" s="6" t="s">
        <v>617</v>
      </c>
      <c r="D36" s="14" t="s">
        <v>894</v>
      </c>
      <c r="E36" s="14" t="s">
        <v>1015</v>
      </c>
      <c r="F36" s="13">
        <v>54</v>
      </c>
      <c r="G36" s="1" t="s">
        <v>531</v>
      </c>
      <c r="H36" s="7" t="s">
        <v>38</v>
      </c>
      <c r="I36" s="14" t="s">
        <v>636</v>
      </c>
      <c r="J36" s="8">
        <v>45851378</v>
      </c>
      <c r="K36" s="9">
        <v>5.5999999999999999E-3</v>
      </c>
      <c r="L36" s="10">
        <v>2736690</v>
      </c>
      <c r="M36" s="12">
        <v>17</v>
      </c>
      <c r="N36" s="29">
        <v>646075000000</v>
      </c>
      <c r="O36">
        <v>14187</v>
      </c>
      <c r="P36" s="27">
        <v>6.1000000000000004E-3</v>
      </c>
      <c r="Q36" s="32">
        <v>633267</v>
      </c>
      <c r="R36" s="13">
        <v>37780000000</v>
      </c>
      <c r="S36" s="13">
        <v>2480</v>
      </c>
      <c r="V36" s="7" t="s">
        <v>38</v>
      </c>
      <c r="W36" s="6" t="s">
        <v>625</v>
      </c>
      <c r="X36" s="6" t="s">
        <v>617</v>
      </c>
      <c r="Y36" s="14" t="s">
        <v>1015</v>
      </c>
      <c r="Z36" s="1" t="s">
        <v>531</v>
      </c>
    </row>
    <row r="37" spans="1:26" ht="35" x14ac:dyDescent="0.2">
      <c r="A37" s="6">
        <v>36</v>
      </c>
      <c r="B37" s="6" t="s">
        <v>624</v>
      </c>
      <c r="C37" s="6" t="s">
        <v>607</v>
      </c>
      <c r="D37" s="14" t="s">
        <v>991</v>
      </c>
      <c r="E37" s="14" t="s">
        <v>1008</v>
      </c>
      <c r="F37" s="13">
        <v>93</v>
      </c>
      <c r="G37" s="1" t="s">
        <v>532</v>
      </c>
      <c r="H37" s="7" t="s">
        <v>39</v>
      </c>
      <c r="I37" s="14" t="s">
        <v>631</v>
      </c>
      <c r="J37" s="8">
        <v>43844111</v>
      </c>
      <c r="K37" s="9">
        <v>5.3E-3</v>
      </c>
      <c r="L37" s="10">
        <v>652860</v>
      </c>
      <c r="M37" s="12">
        <v>67</v>
      </c>
      <c r="N37" s="29">
        <v>17233051620</v>
      </c>
      <c r="O37">
        <v>416</v>
      </c>
      <c r="P37" s="27">
        <v>1.6000000000000001E-4</v>
      </c>
      <c r="Q37" s="32">
        <v>2023</v>
      </c>
      <c r="R37" s="13">
        <v>20280000000</v>
      </c>
      <c r="S37" s="13">
        <v>2760</v>
      </c>
      <c r="V37" s="7" t="s">
        <v>39</v>
      </c>
      <c r="W37" s="6" t="s">
        <v>624</v>
      </c>
      <c r="X37" s="6" t="s">
        <v>607</v>
      </c>
      <c r="Y37" s="14" t="s">
        <v>1008</v>
      </c>
      <c r="Z37" s="1" t="s">
        <v>532</v>
      </c>
    </row>
    <row r="38" spans="1:26" ht="35" x14ac:dyDescent="0.2">
      <c r="A38" s="6">
        <v>37</v>
      </c>
      <c r="B38" s="6" t="s">
        <v>624</v>
      </c>
      <c r="C38" s="6" t="s">
        <v>610</v>
      </c>
      <c r="D38" s="14" t="s">
        <v>870</v>
      </c>
      <c r="E38" s="14" t="s">
        <v>1212</v>
      </c>
      <c r="F38" s="13">
        <v>967</v>
      </c>
      <c r="G38" s="1" t="s">
        <v>533</v>
      </c>
      <c r="H38" s="7" t="s">
        <v>40</v>
      </c>
      <c r="I38" s="14" t="s">
        <v>1228</v>
      </c>
      <c r="J38" s="8">
        <v>41773878</v>
      </c>
      <c r="K38" s="9">
        <v>5.1000000000000004E-3</v>
      </c>
      <c r="L38" s="10">
        <v>527970</v>
      </c>
      <c r="M38" s="12">
        <v>79</v>
      </c>
      <c r="N38" s="29" t="e">
        <v>#N/A</v>
      </c>
      <c r="O38" t="e">
        <v>#N/A</v>
      </c>
      <c r="P38" s="27" t="e">
        <v>#N/A</v>
      </c>
      <c r="Q38" s="32" t="s">
        <v>1319</v>
      </c>
      <c r="R38" s="13">
        <v>3565000000</v>
      </c>
      <c r="S38" s="13">
        <v>429</v>
      </c>
      <c r="V38" s="7" t="s">
        <v>40</v>
      </c>
      <c r="W38" s="6" t="s">
        <v>624</v>
      </c>
      <c r="X38" s="6" t="s">
        <v>610</v>
      </c>
      <c r="Y38" s="14" t="s">
        <v>1212</v>
      </c>
      <c r="Z38" s="1" t="s">
        <v>533</v>
      </c>
    </row>
    <row r="39" spans="1:26" ht="35" x14ac:dyDescent="0.2">
      <c r="A39" s="6">
        <v>38</v>
      </c>
      <c r="B39" s="6" t="s">
        <v>625</v>
      </c>
      <c r="C39" s="6" t="s">
        <v>623</v>
      </c>
      <c r="D39" s="14" t="s">
        <v>992</v>
      </c>
      <c r="E39" s="14" t="s">
        <v>1042</v>
      </c>
      <c r="F39" s="13">
        <v>1</v>
      </c>
      <c r="G39" s="1" t="s">
        <v>534</v>
      </c>
      <c r="H39" s="7" t="s">
        <v>41</v>
      </c>
      <c r="I39" s="14" t="s">
        <v>657</v>
      </c>
      <c r="J39" s="8">
        <v>40126723</v>
      </c>
      <c r="K39" s="9">
        <v>4.8999999999999998E-3</v>
      </c>
      <c r="L39" s="10">
        <v>9093510</v>
      </c>
      <c r="M39" s="12">
        <v>4</v>
      </c>
      <c r="N39" s="29">
        <v>2142470000000</v>
      </c>
      <c r="O39">
        <v>54517</v>
      </c>
      <c r="P39" s="27">
        <v>2.0199999999999999E-2</v>
      </c>
      <c r="Q39" s="32">
        <v>2241253</v>
      </c>
      <c r="R39" s="13">
        <v>35730000000</v>
      </c>
      <c r="S39" s="13">
        <v>2722</v>
      </c>
      <c r="V39" s="7" t="s">
        <v>41</v>
      </c>
      <c r="W39" s="6" t="s">
        <v>625</v>
      </c>
      <c r="X39" s="6" t="s">
        <v>623</v>
      </c>
      <c r="Y39" s="14" t="s">
        <v>1042</v>
      </c>
      <c r="Z39" s="1" t="s">
        <v>534</v>
      </c>
    </row>
    <row r="40" spans="1:26" ht="35" x14ac:dyDescent="0.2">
      <c r="A40" s="6">
        <v>39</v>
      </c>
      <c r="B40" s="6" t="s">
        <v>627</v>
      </c>
      <c r="C40" s="6" t="s">
        <v>605</v>
      </c>
      <c r="D40" s="14" t="s">
        <v>805</v>
      </c>
      <c r="E40" s="14" t="s">
        <v>1012</v>
      </c>
      <c r="F40" s="13">
        <v>244</v>
      </c>
      <c r="G40" s="1" t="s">
        <v>535</v>
      </c>
      <c r="H40" s="7" t="s">
        <v>42</v>
      </c>
      <c r="I40" s="14" t="s">
        <v>634</v>
      </c>
      <c r="J40" s="8">
        <v>39040039</v>
      </c>
      <c r="K40" s="9">
        <v>4.7000000000000002E-3</v>
      </c>
      <c r="L40" s="10">
        <v>1246700</v>
      </c>
      <c r="M40" s="12">
        <v>31</v>
      </c>
      <c r="N40" s="29">
        <v>84824654482</v>
      </c>
      <c r="O40">
        <v>2308</v>
      </c>
      <c r="P40" s="27">
        <v>8.0000000000000004E-4</v>
      </c>
      <c r="Q40" s="32">
        <v>80397</v>
      </c>
      <c r="R40" s="13">
        <v>705800000</v>
      </c>
      <c r="S40" s="13">
        <v>100</v>
      </c>
      <c r="V40" s="7" t="s">
        <v>42</v>
      </c>
      <c r="W40" s="6" t="s">
        <v>627</v>
      </c>
      <c r="X40" s="6" t="s">
        <v>605</v>
      </c>
      <c r="Y40" s="14" t="s">
        <v>1012</v>
      </c>
      <c r="Z40" s="1" t="s">
        <v>535</v>
      </c>
    </row>
    <row r="41" spans="1:26" ht="35" x14ac:dyDescent="0.2">
      <c r="A41" s="6">
        <v>40</v>
      </c>
      <c r="B41" s="6" t="s">
        <v>626</v>
      </c>
      <c r="C41" s="6" t="s">
        <v>613</v>
      </c>
      <c r="D41" s="14" t="s">
        <v>989</v>
      </c>
      <c r="E41" s="14" t="s">
        <v>1203</v>
      </c>
      <c r="F41" s="13">
        <v>380</v>
      </c>
      <c r="G41" s="1" t="s">
        <v>536</v>
      </c>
      <c r="H41" s="7" t="s">
        <v>43</v>
      </c>
      <c r="I41" s="14" t="s">
        <v>1328</v>
      </c>
      <c r="J41" s="8">
        <v>38980376</v>
      </c>
      <c r="K41" s="9">
        <v>4.7000000000000002E-3</v>
      </c>
      <c r="L41" s="10">
        <v>579320</v>
      </c>
      <c r="M41" s="12">
        <v>67</v>
      </c>
      <c r="N41" s="29">
        <v>178757000000</v>
      </c>
      <c r="O41">
        <v>4737</v>
      </c>
      <c r="P41" s="27">
        <v>1.6999999999999999E-3</v>
      </c>
      <c r="Q41" s="32">
        <v>190741</v>
      </c>
      <c r="R41" s="13">
        <v>9862000000</v>
      </c>
      <c r="S41" s="13">
        <v>592</v>
      </c>
      <c r="V41" s="7" t="s">
        <v>43</v>
      </c>
      <c r="W41" s="6" t="s">
        <v>626</v>
      </c>
      <c r="X41" s="6" t="s">
        <v>613</v>
      </c>
      <c r="Y41" s="14" t="s">
        <v>1203</v>
      </c>
      <c r="Z41" s="1" t="s">
        <v>536</v>
      </c>
    </row>
    <row r="42" spans="1:26" ht="35" x14ac:dyDescent="0.2">
      <c r="A42" s="6">
        <v>41</v>
      </c>
      <c r="B42" s="6" t="s">
        <v>627</v>
      </c>
      <c r="C42" s="6" t="s">
        <v>604</v>
      </c>
      <c r="D42" s="14" t="s">
        <v>862</v>
      </c>
      <c r="E42" s="14" t="s">
        <v>1132</v>
      </c>
      <c r="F42" s="13">
        <v>212</v>
      </c>
      <c r="G42" s="1" t="s">
        <v>537</v>
      </c>
      <c r="H42" s="7" t="s">
        <v>44</v>
      </c>
      <c r="I42" s="14" t="s">
        <v>735</v>
      </c>
      <c r="J42" s="8">
        <v>38430770</v>
      </c>
      <c r="K42" s="9">
        <v>4.7000000000000002E-3</v>
      </c>
      <c r="L42" s="10">
        <v>446300</v>
      </c>
      <c r="M42" s="12">
        <v>86</v>
      </c>
      <c r="N42" s="29">
        <v>144417000000</v>
      </c>
      <c r="O42">
        <v>3829</v>
      </c>
      <c r="P42" s="27">
        <v>1.4E-3</v>
      </c>
      <c r="Q42" s="32">
        <v>154431</v>
      </c>
      <c r="R42" s="13">
        <v>10430000000</v>
      </c>
      <c r="S42" s="13">
        <v>880</v>
      </c>
      <c r="V42" s="7" t="s">
        <v>44</v>
      </c>
      <c r="W42" s="6" t="s">
        <v>627</v>
      </c>
      <c r="X42" s="6" t="s">
        <v>604</v>
      </c>
      <c r="Y42" s="14" t="s">
        <v>1132</v>
      </c>
      <c r="Z42" s="1" t="s">
        <v>537</v>
      </c>
    </row>
    <row r="43" spans="1:26" ht="35" x14ac:dyDescent="0.2">
      <c r="A43" s="6">
        <v>42</v>
      </c>
      <c r="B43" s="6" t="s">
        <v>626</v>
      </c>
      <c r="C43" s="6" t="s">
        <v>613</v>
      </c>
      <c r="D43" s="14" t="s">
        <v>890</v>
      </c>
      <c r="E43" s="14" t="s">
        <v>1154</v>
      </c>
      <c r="F43" s="13">
        <v>48</v>
      </c>
      <c r="G43" s="1" t="s">
        <v>538</v>
      </c>
      <c r="H43" s="7" t="s">
        <v>45</v>
      </c>
      <c r="I43" s="14" t="s">
        <v>754</v>
      </c>
      <c r="J43" s="8">
        <v>38140910</v>
      </c>
      <c r="K43" s="9">
        <v>4.5999999999999999E-3</v>
      </c>
      <c r="L43" s="10">
        <v>306230</v>
      </c>
      <c r="M43" s="12">
        <v>125</v>
      </c>
      <c r="N43" s="29">
        <v>809201000000</v>
      </c>
      <c r="O43">
        <v>20876</v>
      </c>
      <c r="P43" s="27">
        <v>7.6E-3</v>
      </c>
      <c r="Q43" s="32">
        <v>914696</v>
      </c>
      <c r="R43" s="13">
        <v>10580000000</v>
      </c>
      <c r="S43" s="13">
        <v>758</v>
      </c>
      <c r="V43" s="7" t="s">
        <v>45</v>
      </c>
      <c r="W43" s="6" t="s">
        <v>626</v>
      </c>
      <c r="X43" s="6" t="s">
        <v>613</v>
      </c>
      <c r="Y43" s="14" t="s">
        <v>1154</v>
      </c>
      <c r="Z43" s="1" t="s">
        <v>538</v>
      </c>
    </row>
    <row r="44" spans="1:26" ht="35" x14ac:dyDescent="0.2">
      <c r="A44" s="6">
        <v>43</v>
      </c>
      <c r="B44" s="6" t="s">
        <v>624</v>
      </c>
      <c r="C44" s="6" t="s">
        <v>611</v>
      </c>
      <c r="D44" s="14" t="s">
        <v>929</v>
      </c>
      <c r="E44" s="14" t="s">
        <v>1208</v>
      </c>
      <c r="F44" s="13">
        <v>998</v>
      </c>
      <c r="G44" s="1" t="s">
        <v>539</v>
      </c>
      <c r="H44" s="7" t="s">
        <v>46</v>
      </c>
      <c r="I44" s="14" t="s">
        <v>793</v>
      </c>
      <c r="J44" s="8">
        <v>37053428</v>
      </c>
      <c r="K44" s="9">
        <v>4.4999999999999997E-3</v>
      </c>
      <c r="L44" s="10">
        <v>425400</v>
      </c>
      <c r="M44" s="12">
        <v>87</v>
      </c>
      <c r="N44" s="29">
        <v>101592000000</v>
      </c>
      <c r="O44">
        <v>2850</v>
      </c>
      <c r="P44" s="27">
        <v>9.6000000000000002E-4</v>
      </c>
      <c r="Q44" s="32">
        <v>114965</v>
      </c>
      <c r="R44" s="13">
        <v>54560000000</v>
      </c>
      <c r="S44" s="13">
        <v>4778</v>
      </c>
      <c r="V44" s="7" t="s">
        <v>46</v>
      </c>
      <c r="W44" s="6" t="s">
        <v>624</v>
      </c>
      <c r="X44" s="6" t="s">
        <v>611</v>
      </c>
      <c r="Y44" s="14" t="s">
        <v>1208</v>
      </c>
      <c r="Z44" s="1" t="s">
        <v>539</v>
      </c>
    </row>
    <row r="45" spans="1:26" ht="35" x14ac:dyDescent="0.2">
      <c r="A45" s="6">
        <v>44</v>
      </c>
      <c r="B45" s="6" t="s">
        <v>624</v>
      </c>
      <c r="C45" s="6" t="s">
        <v>609</v>
      </c>
      <c r="D45" s="14" t="s">
        <v>939</v>
      </c>
      <c r="E45" s="14" t="s">
        <v>1119</v>
      </c>
      <c r="F45" s="13">
        <v>60</v>
      </c>
      <c r="G45" s="1" t="s">
        <v>540</v>
      </c>
      <c r="H45" s="7" t="s">
        <v>47</v>
      </c>
      <c r="I45" s="14" t="s">
        <v>1227</v>
      </c>
      <c r="J45" s="8">
        <v>35977838</v>
      </c>
      <c r="K45" s="9">
        <v>4.4000000000000003E-3</v>
      </c>
      <c r="L45" s="10">
        <v>328550</v>
      </c>
      <c r="M45" s="12">
        <v>110</v>
      </c>
      <c r="N45" s="29">
        <v>399705000000</v>
      </c>
      <c r="O45">
        <v>11379</v>
      </c>
      <c r="P45" s="27">
        <v>3.8E-3</v>
      </c>
      <c r="Q45" s="32">
        <v>421972</v>
      </c>
      <c r="R45" s="13">
        <v>11200000000</v>
      </c>
      <c r="S45" s="13">
        <v>1188</v>
      </c>
      <c r="V45" s="7" t="s">
        <v>47</v>
      </c>
      <c r="W45" s="6" t="s">
        <v>624</v>
      </c>
      <c r="X45" s="6" t="s">
        <v>609</v>
      </c>
      <c r="Y45" s="14" t="s">
        <v>1119</v>
      </c>
      <c r="Z45" s="1" t="s">
        <v>540</v>
      </c>
    </row>
    <row r="46" spans="1:26" ht="35" x14ac:dyDescent="0.2">
      <c r="A46" s="6">
        <v>45</v>
      </c>
      <c r="B46" s="6" t="s">
        <v>627</v>
      </c>
      <c r="C46" s="6" t="s">
        <v>603</v>
      </c>
      <c r="D46" s="14" t="s">
        <v>818</v>
      </c>
      <c r="E46" s="14" t="s">
        <v>1133</v>
      </c>
      <c r="F46" s="13">
        <v>258</v>
      </c>
      <c r="G46" s="1" t="s">
        <v>548</v>
      </c>
      <c r="H46" s="7" t="s">
        <v>48</v>
      </c>
      <c r="I46" s="14" t="s">
        <v>736</v>
      </c>
      <c r="J46" s="8">
        <v>35631653</v>
      </c>
      <c r="K46" s="9">
        <v>4.3E-3</v>
      </c>
      <c r="L46" s="10">
        <v>786380</v>
      </c>
      <c r="M46" s="12">
        <v>45</v>
      </c>
      <c r="N46" s="29">
        <v>20954220984</v>
      </c>
      <c r="O46">
        <v>623</v>
      </c>
      <c r="P46" s="27">
        <v>2.0000000000000001E-4</v>
      </c>
      <c r="Q46" s="32">
        <v>22417</v>
      </c>
      <c r="R46" s="13">
        <v>1473000000</v>
      </c>
      <c r="S46" s="13">
        <v>152</v>
      </c>
      <c r="V46" s="7" t="s">
        <v>48</v>
      </c>
      <c r="W46" s="6" t="s">
        <v>627</v>
      </c>
      <c r="X46" s="6" t="s">
        <v>603</v>
      </c>
      <c r="Y46" s="14" t="s">
        <v>1133</v>
      </c>
      <c r="Z46" s="1" t="s">
        <v>548</v>
      </c>
    </row>
    <row r="47" spans="1:26" ht="35" x14ac:dyDescent="0.2">
      <c r="A47" s="6">
        <v>46</v>
      </c>
      <c r="B47" s="6" t="s">
        <v>627</v>
      </c>
      <c r="C47" s="6" t="s">
        <v>602</v>
      </c>
      <c r="D47" s="14" t="s">
        <v>842</v>
      </c>
      <c r="E47" s="14" t="s">
        <v>1078</v>
      </c>
      <c r="F47" s="13">
        <v>233</v>
      </c>
      <c r="G47" s="1" t="s">
        <v>549</v>
      </c>
      <c r="H47" s="7" t="s">
        <v>49</v>
      </c>
      <c r="I47" s="14" t="s">
        <v>692</v>
      </c>
      <c r="J47" s="8">
        <v>35064272</v>
      </c>
      <c r="K47" s="9">
        <v>4.3E-3</v>
      </c>
      <c r="L47" s="10">
        <v>227540</v>
      </c>
      <c r="M47" s="12">
        <v>154</v>
      </c>
      <c r="N47" s="29">
        <v>76370396722</v>
      </c>
      <c r="O47">
        <v>2260</v>
      </c>
      <c r="P47" s="27">
        <v>7.2000000000000005E-4</v>
      </c>
      <c r="Q47" s="32">
        <v>82825</v>
      </c>
      <c r="R47" s="13">
        <v>982000000</v>
      </c>
      <c r="S47" s="13">
        <v>137</v>
      </c>
      <c r="V47" s="7" t="s">
        <v>49</v>
      </c>
      <c r="W47" s="6" t="s">
        <v>627</v>
      </c>
      <c r="X47" s="6" t="s">
        <v>602</v>
      </c>
      <c r="Y47" s="14" t="s">
        <v>1078</v>
      </c>
      <c r="Z47" s="1" t="s">
        <v>549</v>
      </c>
    </row>
    <row r="48" spans="1:26" ht="35" x14ac:dyDescent="0.2">
      <c r="A48" s="6">
        <v>47</v>
      </c>
      <c r="B48" s="6" t="s">
        <v>625</v>
      </c>
      <c r="C48" s="6" t="s">
        <v>617</v>
      </c>
      <c r="D48" s="14" t="s">
        <v>921</v>
      </c>
      <c r="E48" s="14" t="s">
        <v>1152</v>
      </c>
      <c r="F48" s="13">
        <v>51</v>
      </c>
      <c r="G48" s="1" t="s">
        <v>550</v>
      </c>
      <c r="H48" s="7" t="s">
        <v>50</v>
      </c>
      <c r="I48" s="14" t="s">
        <v>752</v>
      </c>
      <c r="J48" s="8">
        <v>34576665</v>
      </c>
      <c r="K48" s="9">
        <v>4.1999999999999997E-3</v>
      </c>
      <c r="L48" s="10">
        <v>1280000</v>
      </c>
      <c r="M48" s="12">
        <v>27</v>
      </c>
      <c r="N48" s="29">
        <v>267603000000</v>
      </c>
      <c r="O48">
        <v>7907</v>
      </c>
      <c r="P48" s="27">
        <v>2.5000000000000001E-3</v>
      </c>
      <c r="Q48" s="32">
        <v>289222</v>
      </c>
      <c r="R48" s="13">
        <v>13660000000</v>
      </c>
      <c r="S48" s="13">
        <v>1303</v>
      </c>
      <c r="V48" s="7" t="s">
        <v>50</v>
      </c>
      <c r="W48" s="6" t="s">
        <v>625</v>
      </c>
      <c r="X48" s="6" t="s">
        <v>617</v>
      </c>
      <c r="Y48" s="14" t="s">
        <v>1152</v>
      </c>
      <c r="Z48" s="1" t="s">
        <v>550</v>
      </c>
    </row>
    <row r="49" spans="1:26" ht="35" x14ac:dyDescent="0.2">
      <c r="A49" s="6">
        <v>48</v>
      </c>
      <c r="B49" s="6" t="s">
        <v>624</v>
      </c>
      <c r="C49" s="6" t="s">
        <v>610</v>
      </c>
      <c r="D49" s="14" t="s">
        <v>865</v>
      </c>
      <c r="E49" s="14" t="s">
        <v>1167</v>
      </c>
      <c r="F49" s="13">
        <v>966</v>
      </c>
      <c r="G49" s="1" t="s">
        <v>551</v>
      </c>
      <c r="H49" s="7" t="s">
        <v>51</v>
      </c>
      <c r="I49" s="14" t="s">
        <v>764</v>
      </c>
      <c r="J49" s="8">
        <v>34566328</v>
      </c>
      <c r="K49" s="9">
        <v>4.1999999999999997E-3</v>
      </c>
      <c r="L49" s="10">
        <v>2149690</v>
      </c>
      <c r="M49" s="12">
        <v>16</v>
      </c>
      <c r="N49" s="29">
        <v>1067580000000</v>
      </c>
      <c r="O49">
        <v>32094</v>
      </c>
      <c r="P49" s="27">
        <v>1.01E-2</v>
      </c>
      <c r="Q49" s="32">
        <v>1237530</v>
      </c>
      <c r="R49" s="13">
        <v>23350000000</v>
      </c>
      <c r="S49" s="13">
        <v>2078</v>
      </c>
      <c r="V49" s="7" t="s">
        <v>51</v>
      </c>
      <c r="W49" s="6" t="s">
        <v>624</v>
      </c>
      <c r="X49" s="6" t="s">
        <v>610</v>
      </c>
      <c r="Y49" s="14" t="s">
        <v>1167</v>
      </c>
      <c r="Z49" s="1" t="s">
        <v>551</v>
      </c>
    </row>
    <row r="50" spans="1:26" ht="35" x14ac:dyDescent="0.2">
      <c r="A50" s="6">
        <v>49</v>
      </c>
      <c r="B50" s="6" t="s">
        <v>627</v>
      </c>
      <c r="C50" s="6" t="s">
        <v>603</v>
      </c>
      <c r="D50" s="14" t="s">
        <v>815</v>
      </c>
      <c r="E50" s="14" t="s">
        <v>1117</v>
      </c>
      <c r="F50" s="13">
        <v>261</v>
      </c>
      <c r="G50" s="1" t="s">
        <v>542</v>
      </c>
      <c r="H50" s="7" t="s">
        <v>52</v>
      </c>
      <c r="I50" s="14" t="s">
        <v>723</v>
      </c>
      <c r="J50" s="8">
        <v>32740678</v>
      </c>
      <c r="K50" s="9">
        <v>4.0000000000000001E-3</v>
      </c>
      <c r="L50" s="10">
        <v>581795</v>
      </c>
      <c r="M50" s="12">
        <v>56</v>
      </c>
      <c r="N50" s="29">
        <v>15790113247</v>
      </c>
      <c r="O50">
        <v>506</v>
      </c>
      <c r="P50" s="27">
        <v>1.4999999999999999E-4</v>
      </c>
      <c r="Q50" s="32">
        <v>17421</v>
      </c>
      <c r="R50" s="13">
        <v>13560000000</v>
      </c>
      <c r="S50" s="13">
        <v>1883</v>
      </c>
      <c r="V50" s="7" t="s">
        <v>52</v>
      </c>
      <c r="W50" s="6" t="s">
        <v>627</v>
      </c>
      <c r="X50" s="6" t="s">
        <v>603</v>
      </c>
      <c r="Y50" s="14" t="s">
        <v>1117</v>
      </c>
      <c r="Z50" s="1" t="s">
        <v>542</v>
      </c>
    </row>
    <row r="51" spans="1:26" ht="35" x14ac:dyDescent="0.2">
      <c r="A51" s="6">
        <v>50</v>
      </c>
      <c r="B51" s="6" t="s">
        <v>627</v>
      </c>
      <c r="C51" s="6" t="s">
        <v>602</v>
      </c>
      <c r="D51" s="14" t="s">
        <v>838</v>
      </c>
      <c r="E51" s="14" t="s">
        <v>1051</v>
      </c>
      <c r="F51" s="13">
        <v>225</v>
      </c>
      <c r="G51" s="1" t="s">
        <v>552</v>
      </c>
      <c r="H51" s="7" t="s">
        <v>53</v>
      </c>
      <c r="I51" s="14" t="s">
        <v>802</v>
      </c>
      <c r="J51" s="8">
        <v>32711547</v>
      </c>
      <c r="K51" s="9">
        <v>4.0000000000000001E-3</v>
      </c>
      <c r="L51" s="10">
        <v>318000</v>
      </c>
      <c r="M51" s="12">
        <v>103</v>
      </c>
      <c r="N51" s="29">
        <v>78875489245</v>
      </c>
      <c r="O51">
        <v>2531</v>
      </c>
      <c r="P51" s="27">
        <v>7.3999999999999999E-4</v>
      </c>
      <c r="Q51" s="32">
        <v>86538</v>
      </c>
      <c r="R51" s="13">
        <v>1162000000</v>
      </c>
      <c r="S51" s="13">
        <v>130</v>
      </c>
      <c r="V51" s="7" t="s">
        <v>53</v>
      </c>
      <c r="W51" s="6" t="s">
        <v>627</v>
      </c>
      <c r="X51" s="6" t="s">
        <v>602</v>
      </c>
      <c r="Y51" s="14" t="s">
        <v>1051</v>
      </c>
      <c r="Z51" s="1" t="s">
        <v>552</v>
      </c>
    </row>
    <row r="52" spans="1:26" ht="35" x14ac:dyDescent="0.2">
      <c r="A52" s="6">
        <v>51</v>
      </c>
      <c r="B52" s="6" t="s">
        <v>627</v>
      </c>
      <c r="C52" s="6" t="s">
        <v>605</v>
      </c>
      <c r="D52" s="14" t="s">
        <v>834</v>
      </c>
      <c r="E52" s="14" t="s">
        <v>1041</v>
      </c>
      <c r="F52" s="13">
        <v>237</v>
      </c>
      <c r="G52" s="1" t="s">
        <v>553</v>
      </c>
      <c r="H52" s="7" t="s">
        <v>54</v>
      </c>
      <c r="I52" s="14" t="s">
        <v>656</v>
      </c>
      <c r="J52" s="8">
        <v>29879337</v>
      </c>
      <c r="K52" s="9">
        <v>3.5999999999999999E-3</v>
      </c>
      <c r="L52" s="10">
        <v>472710</v>
      </c>
      <c r="M52" s="12">
        <v>63</v>
      </c>
      <c r="N52" s="29">
        <v>49279410983</v>
      </c>
      <c r="O52">
        <v>1737</v>
      </c>
      <c r="P52" s="27">
        <v>4.6000000000000001E-4</v>
      </c>
      <c r="Q52" s="32">
        <v>51327</v>
      </c>
      <c r="R52" s="13">
        <v>966400000</v>
      </c>
      <c r="S52" s="13">
        <v>178</v>
      </c>
      <c r="V52" s="7" t="s">
        <v>54</v>
      </c>
      <c r="W52" s="6" t="s">
        <v>627</v>
      </c>
      <c r="X52" s="6" t="s">
        <v>605</v>
      </c>
      <c r="Y52" s="14" t="s">
        <v>1041</v>
      </c>
      <c r="Z52" s="1" t="s">
        <v>553</v>
      </c>
    </row>
    <row r="53" spans="1:26" ht="35" x14ac:dyDescent="0.2">
      <c r="A53" s="6">
        <v>52</v>
      </c>
      <c r="B53" s="6" t="s">
        <v>624</v>
      </c>
      <c r="C53" s="6" t="s">
        <v>607</v>
      </c>
      <c r="D53" s="14" t="s">
        <v>915</v>
      </c>
      <c r="E53" s="14" t="s">
        <v>1137</v>
      </c>
      <c r="F53" s="13">
        <v>977</v>
      </c>
      <c r="G53" s="1" t="s">
        <v>554</v>
      </c>
      <c r="H53" s="7" t="s">
        <v>55</v>
      </c>
      <c r="I53" s="14" t="s">
        <v>739</v>
      </c>
      <c r="J53" s="8">
        <v>29618118</v>
      </c>
      <c r="K53" s="9">
        <v>3.5999999999999999E-3</v>
      </c>
      <c r="L53" s="10">
        <v>143350</v>
      </c>
      <c r="M53" s="12">
        <v>207</v>
      </c>
      <c r="N53" s="29">
        <v>40908073367</v>
      </c>
      <c r="O53">
        <v>1378</v>
      </c>
      <c r="P53" s="27">
        <v>3.8999999999999999E-4</v>
      </c>
      <c r="Q53" s="32">
        <v>42914</v>
      </c>
      <c r="R53" s="13">
        <v>9497000000</v>
      </c>
      <c r="S53" s="13">
        <v>979</v>
      </c>
      <c r="V53" s="7" t="s">
        <v>55</v>
      </c>
      <c r="W53" s="6" t="s">
        <v>624</v>
      </c>
      <c r="X53" s="6" t="s">
        <v>607</v>
      </c>
      <c r="Y53" s="14" t="s">
        <v>1137</v>
      </c>
      <c r="Z53" s="1" t="s">
        <v>554</v>
      </c>
    </row>
    <row r="54" spans="1:26" ht="35" x14ac:dyDescent="0.2">
      <c r="A54" s="6">
        <v>53</v>
      </c>
      <c r="B54" s="6" t="s">
        <v>625</v>
      </c>
      <c r="C54" s="6" t="s">
        <v>617</v>
      </c>
      <c r="D54" s="14" t="s">
        <v>931</v>
      </c>
      <c r="E54" s="14" t="s">
        <v>1210</v>
      </c>
      <c r="F54" s="13">
        <v>58</v>
      </c>
      <c r="G54" s="1" t="s">
        <v>555</v>
      </c>
      <c r="H54" s="7" t="s">
        <v>56</v>
      </c>
      <c r="I54" s="14" t="s">
        <v>795</v>
      </c>
      <c r="J54" s="8">
        <v>28516896</v>
      </c>
      <c r="K54" s="9">
        <v>3.5000000000000001E-3</v>
      </c>
      <c r="L54" s="10">
        <v>882050</v>
      </c>
      <c r="M54" s="12">
        <v>32</v>
      </c>
      <c r="N54" s="29" t="e">
        <v>#N/A</v>
      </c>
      <c r="O54" t="e">
        <v>#N/A</v>
      </c>
      <c r="P54" s="27" t="e">
        <v>#N/A</v>
      </c>
      <c r="Q54" s="32" t="s">
        <v>1319</v>
      </c>
      <c r="R54" s="13">
        <v>22630000000</v>
      </c>
      <c r="S54" s="13">
        <v>2242</v>
      </c>
      <c r="V54" s="7" t="s">
        <v>56</v>
      </c>
      <c r="W54" s="6" t="s">
        <v>625</v>
      </c>
      <c r="X54" s="6" t="s">
        <v>617</v>
      </c>
      <c r="Y54" s="14" t="s">
        <v>1210</v>
      </c>
      <c r="Z54" s="1" t="s">
        <v>555</v>
      </c>
    </row>
    <row r="55" spans="1:26" ht="35" x14ac:dyDescent="0.2">
      <c r="A55" s="6">
        <v>54</v>
      </c>
      <c r="B55" s="6" t="s">
        <v>627</v>
      </c>
      <c r="C55" s="6" t="s">
        <v>602</v>
      </c>
      <c r="D55" s="14" t="s">
        <v>848</v>
      </c>
      <c r="E55" s="14" t="s">
        <v>1141</v>
      </c>
      <c r="F55" s="13">
        <v>227</v>
      </c>
      <c r="G55" s="1" t="s">
        <v>556</v>
      </c>
      <c r="H55" s="7" t="s">
        <v>57</v>
      </c>
      <c r="I55" s="14" t="s">
        <v>742</v>
      </c>
      <c r="J55" s="8">
        <v>27917831</v>
      </c>
      <c r="K55" s="9">
        <v>3.3999999999999998E-3</v>
      </c>
      <c r="L55" s="10">
        <v>1266700</v>
      </c>
      <c r="M55" s="12">
        <v>22</v>
      </c>
      <c r="N55" s="29">
        <v>16819170421</v>
      </c>
      <c r="O55">
        <v>643</v>
      </c>
      <c r="P55" s="27">
        <v>1.6000000000000001E-4</v>
      </c>
      <c r="Q55" s="32">
        <v>19538</v>
      </c>
      <c r="R55" s="13">
        <v>1747000000</v>
      </c>
      <c r="S55" s="13">
        <v>231</v>
      </c>
      <c r="V55" s="7" t="s">
        <v>57</v>
      </c>
      <c r="W55" s="6" t="s">
        <v>627</v>
      </c>
      <c r="X55" s="6" t="s">
        <v>602</v>
      </c>
      <c r="Y55" s="14" t="s">
        <v>1141</v>
      </c>
      <c r="Z55" s="1" t="s">
        <v>556</v>
      </c>
    </row>
    <row r="56" spans="1:26" ht="35" x14ac:dyDescent="0.2">
      <c r="A56" s="6">
        <v>55</v>
      </c>
      <c r="B56" s="6" t="s">
        <v>620</v>
      </c>
      <c r="C56" s="6" t="s">
        <v>620</v>
      </c>
      <c r="D56" s="14" t="s">
        <v>932</v>
      </c>
      <c r="E56" s="14" t="s">
        <v>1017</v>
      </c>
      <c r="F56" s="13">
        <v>61</v>
      </c>
      <c r="G56" s="1" t="s">
        <v>597</v>
      </c>
      <c r="H56" s="7" t="s">
        <v>58</v>
      </c>
      <c r="I56" s="14" t="s">
        <v>638</v>
      </c>
      <c r="J56" s="8">
        <v>26974026</v>
      </c>
      <c r="K56" s="9">
        <v>3.3E-3</v>
      </c>
      <c r="L56" s="10">
        <v>7682300</v>
      </c>
      <c r="M56" s="12">
        <v>4</v>
      </c>
      <c r="N56" s="29">
        <v>1728060000000</v>
      </c>
      <c r="O56">
        <v>65330</v>
      </c>
      <c r="P56" s="27">
        <v>1.6299999999999999E-2</v>
      </c>
      <c r="Q56" s="32">
        <v>1752193</v>
      </c>
      <c r="R56" s="13">
        <v>16130000000</v>
      </c>
      <c r="S56" s="13">
        <v>1816</v>
      </c>
      <c r="V56" s="7" t="s">
        <v>58</v>
      </c>
      <c r="W56" s="6" t="s">
        <v>620</v>
      </c>
      <c r="X56" s="6" t="s">
        <v>620</v>
      </c>
      <c r="Y56" s="14" t="s">
        <v>1017</v>
      </c>
      <c r="Z56" s="1" t="s">
        <v>597</v>
      </c>
    </row>
    <row r="57" spans="1:26" ht="35" x14ac:dyDescent="0.2">
      <c r="A57" s="6">
        <v>56</v>
      </c>
      <c r="B57" s="6" t="s">
        <v>624</v>
      </c>
      <c r="C57" s="6" t="s">
        <v>608</v>
      </c>
      <c r="D57" s="14" t="s">
        <v>937</v>
      </c>
      <c r="E57" s="14" t="s">
        <v>1143</v>
      </c>
      <c r="F57" s="13">
        <v>850</v>
      </c>
      <c r="G57" s="1" t="s">
        <v>525</v>
      </c>
      <c r="H57" s="7" t="s">
        <v>59</v>
      </c>
      <c r="I57" s="14" t="s">
        <v>744</v>
      </c>
      <c r="J57" s="8">
        <v>26571036</v>
      </c>
      <c r="K57" s="9">
        <v>3.2000000000000002E-3</v>
      </c>
      <c r="L57" s="10">
        <v>120410</v>
      </c>
      <c r="M57" s="12">
        <v>221</v>
      </c>
      <c r="N57" s="29" t="e">
        <v>#N/A</v>
      </c>
      <c r="O57" t="e">
        <v>#N/A</v>
      </c>
      <c r="P57" s="27" t="e">
        <v>#N/A</v>
      </c>
      <c r="Q57" s="32">
        <v>16447</v>
      </c>
      <c r="R57" s="13">
        <v>8658000000</v>
      </c>
      <c r="S57" s="13">
        <v>972</v>
      </c>
      <c r="V57" s="7" t="s">
        <v>59</v>
      </c>
      <c r="W57" s="6" t="s">
        <v>624</v>
      </c>
      <c r="X57" s="6" t="s">
        <v>608</v>
      </c>
      <c r="Y57" s="14" t="s">
        <v>1143</v>
      </c>
      <c r="Z57" s="1" t="s">
        <v>525</v>
      </c>
    </row>
    <row r="58" spans="1:26" ht="35" x14ac:dyDescent="0.2">
      <c r="A58" s="6">
        <v>57</v>
      </c>
      <c r="B58" s="6" t="s">
        <v>624</v>
      </c>
      <c r="C58" s="6" t="s">
        <v>610</v>
      </c>
      <c r="D58" s="14" t="s">
        <v>866</v>
      </c>
      <c r="E58" s="14" t="s">
        <v>1189</v>
      </c>
      <c r="F58" s="13">
        <v>963</v>
      </c>
      <c r="G58" s="1" t="s">
        <v>558</v>
      </c>
      <c r="H58" s="7" t="s">
        <v>60</v>
      </c>
      <c r="I58" s="14" t="s">
        <v>780</v>
      </c>
      <c r="J58" s="8">
        <v>25620427</v>
      </c>
      <c r="K58" s="9">
        <v>3.0999999999999999E-3</v>
      </c>
      <c r="L58" s="10">
        <v>183630</v>
      </c>
      <c r="M58" s="12">
        <v>140</v>
      </c>
      <c r="N58" s="29" t="e">
        <v>#N/A</v>
      </c>
      <c r="O58" t="e">
        <v>#N/A</v>
      </c>
      <c r="P58" s="27" t="e">
        <v>#N/A</v>
      </c>
      <c r="Q58" s="32">
        <v>2023</v>
      </c>
      <c r="R58" s="13">
        <v>16760000000</v>
      </c>
      <c r="S58" s="13">
        <v>2441</v>
      </c>
      <c r="V58" s="7" t="s">
        <v>60</v>
      </c>
      <c r="W58" s="6" t="s">
        <v>624</v>
      </c>
      <c r="X58" s="6" t="s">
        <v>610</v>
      </c>
      <c r="Y58" s="14" t="s">
        <v>1189</v>
      </c>
      <c r="Z58" s="1" t="s">
        <v>558</v>
      </c>
    </row>
    <row r="59" spans="1:26" ht="35" x14ac:dyDescent="0.2">
      <c r="A59" s="6">
        <v>58</v>
      </c>
      <c r="B59" s="6" t="s">
        <v>627</v>
      </c>
      <c r="C59" s="6" t="s">
        <v>602</v>
      </c>
      <c r="D59" s="14" t="s">
        <v>846</v>
      </c>
      <c r="E59" s="14" t="s">
        <v>1121</v>
      </c>
      <c r="F59" s="13">
        <v>223</v>
      </c>
      <c r="G59" s="1" t="s">
        <v>543</v>
      </c>
      <c r="H59" s="7" t="s">
        <v>61</v>
      </c>
      <c r="I59" s="14" t="s">
        <v>726</v>
      </c>
      <c r="J59" s="8">
        <v>25198821</v>
      </c>
      <c r="K59" s="9">
        <v>3.0999999999999999E-3</v>
      </c>
      <c r="L59" s="10">
        <v>1220190</v>
      </c>
      <c r="M59" s="12">
        <v>21</v>
      </c>
      <c r="N59" s="29">
        <v>20661794596</v>
      </c>
      <c r="O59">
        <v>869</v>
      </c>
      <c r="P59" s="27">
        <v>1.9000000000000001E-4</v>
      </c>
      <c r="Q59" s="32">
        <v>26588</v>
      </c>
      <c r="R59" s="13">
        <v>5186000000</v>
      </c>
      <c r="S59" s="13">
        <v>1016</v>
      </c>
      <c r="V59" s="7" t="s">
        <v>61</v>
      </c>
      <c r="W59" s="6" t="s">
        <v>627</v>
      </c>
      <c r="X59" s="6" t="s">
        <v>602</v>
      </c>
      <c r="Y59" s="14" t="s">
        <v>1121</v>
      </c>
      <c r="Z59" s="1" t="s">
        <v>543</v>
      </c>
    </row>
    <row r="60" spans="1:26" ht="35" x14ac:dyDescent="0.2">
      <c r="A60" s="6">
        <v>59</v>
      </c>
      <c r="B60" s="6" t="s">
        <v>627</v>
      </c>
      <c r="C60" s="6" t="s">
        <v>602</v>
      </c>
      <c r="D60" s="14" t="s">
        <v>832</v>
      </c>
      <c r="E60" s="14" t="s">
        <v>1037</v>
      </c>
      <c r="F60" s="13">
        <v>226</v>
      </c>
      <c r="G60" s="1" t="s">
        <v>559</v>
      </c>
      <c r="H60" s="7" t="s">
        <v>62</v>
      </c>
      <c r="I60" s="14" t="s">
        <v>654</v>
      </c>
      <c r="J60" s="8">
        <v>24074580</v>
      </c>
      <c r="K60" s="9">
        <v>2.8999999999999998E-3</v>
      </c>
      <c r="L60" s="10">
        <v>273600</v>
      </c>
      <c r="M60" s="12">
        <v>88</v>
      </c>
      <c r="N60" s="29">
        <v>20324617845</v>
      </c>
      <c r="O60">
        <v>883</v>
      </c>
      <c r="P60" s="27">
        <v>1.9000000000000001E-4</v>
      </c>
      <c r="Q60" s="32">
        <v>23250</v>
      </c>
      <c r="R60" s="13">
        <v>818000000</v>
      </c>
      <c r="S60" s="13">
        <v>161</v>
      </c>
      <c r="V60" s="7" t="s">
        <v>62</v>
      </c>
      <c r="W60" s="6" t="s">
        <v>627</v>
      </c>
      <c r="X60" s="6" t="s">
        <v>602</v>
      </c>
      <c r="Y60" s="14" t="s">
        <v>1037</v>
      </c>
      <c r="Z60" s="1" t="s">
        <v>559</v>
      </c>
    </row>
    <row r="61" spans="1:26" ht="35" x14ac:dyDescent="0.2">
      <c r="A61" s="6">
        <v>60</v>
      </c>
      <c r="B61" s="6" t="s">
        <v>624</v>
      </c>
      <c r="C61" s="6" t="s">
        <v>607</v>
      </c>
      <c r="D61" s="14" t="s">
        <v>1000</v>
      </c>
      <c r="E61" s="14" t="s">
        <v>1181</v>
      </c>
      <c r="F61" s="13">
        <v>94</v>
      </c>
      <c r="G61" s="1" t="s">
        <v>560</v>
      </c>
      <c r="H61" s="7" t="s">
        <v>63</v>
      </c>
      <c r="I61" s="14" t="s">
        <v>1219</v>
      </c>
      <c r="J61" s="8">
        <v>23229470</v>
      </c>
      <c r="K61" s="9">
        <v>2.8E-3</v>
      </c>
      <c r="L61" s="10">
        <v>62710</v>
      </c>
      <c r="M61" s="12">
        <v>370</v>
      </c>
      <c r="N61" s="29">
        <v>84356863744</v>
      </c>
      <c r="O61">
        <v>3672</v>
      </c>
      <c r="P61" s="27">
        <v>7.9000000000000001E-4</v>
      </c>
      <c r="Q61" s="32">
        <v>2024</v>
      </c>
      <c r="R61" s="13">
        <v>12950000000</v>
      </c>
      <c r="S61" s="13">
        <v>1755</v>
      </c>
      <c r="V61" s="7" t="s">
        <v>63</v>
      </c>
      <c r="W61" s="6" t="s">
        <v>624</v>
      </c>
      <c r="X61" s="6" t="s">
        <v>607</v>
      </c>
      <c r="Y61" s="14" t="s">
        <v>1181</v>
      </c>
      <c r="Z61" s="1" t="s">
        <v>560</v>
      </c>
    </row>
    <row r="62" spans="1:26" ht="35" x14ac:dyDescent="0.2">
      <c r="A62" s="6">
        <v>61</v>
      </c>
      <c r="B62" s="6" t="s">
        <v>627</v>
      </c>
      <c r="C62" s="6" t="s">
        <v>603</v>
      </c>
      <c r="D62" s="14" t="s">
        <v>816</v>
      </c>
      <c r="E62" s="14" t="s">
        <v>1118</v>
      </c>
      <c r="F62" s="13">
        <v>265</v>
      </c>
      <c r="G62" s="1" t="s">
        <v>541</v>
      </c>
      <c r="H62" s="7" t="s">
        <v>64</v>
      </c>
      <c r="I62" s="14" t="s">
        <v>724</v>
      </c>
      <c r="J62" s="8">
        <v>22216120</v>
      </c>
      <c r="K62" s="9">
        <v>2.7000000000000001E-3</v>
      </c>
      <c r="L62" s="10">
        <v>94280</v>
      </c>
      <c r="M62" s="12">
        <v>236</v>
      </c>
      <c r="N62" s="29">
        <v>12712150082</v>
      </c>
      <c r="O62">
        <v>602</v>
      </c>
      <c r="P62" s="27">
        <v>1.2E-4</v>
      </c>
      <c r="Q62" s="32">
        <v>11009</v>
      </c>
      <c r="R62" s="13">
        <v>1357000000</v>
      </c>
      <c r="S62" s="13">
        <v>290</v>
      </c>
      <c r="V62" s="7" t="s">
        <v>64</v>
      </c>
      <c r="W62" s="6" t="s">
        <v>627</v>
      </c>
      <c r="X62" s="6" t="s">
        <v>603</v>
      </c>
      <c r="Y62" s="14" t="s">
        <v>1118</v>
      </c>
      <c r="Z62" s="1" t="s">
        <v>541</v>
      </c>
    </row>
    <row r="63" spans="1:26" ht="35" x14ac:dyDescent="0.2">
      <c r="A63" s="6">
        <v>62</v>
      </c>
      <c r="B63" s="6" t="s">
        <v>627</v>
      </c>
      <c r="C63" s="6" t="s">
        <v>603</v>
      </c>
      <c r="D63" s="14" t="s">
        <v>829</v>
      </c>
      <c r="E63" s="14" t="s">
        <v>1213</v>
      </c>
      <c r="F63" s="13">
        <v>260</v>
      </c>
      <c r="G63" s="1" t="s">
        <v>561</v>
      </c>
      <c r="H63" s="7" t="s">
        <v>65</v>
      </c>
      <c r="I63" s="14" t="s">
        <v>797</v>
      </c>
      <c r="J63" s="8">
        <v>21913874</v>
      </c>
      <c r="K63" s="9">
        <v>2.7000000000000001E-3</v>
      </c>
      <c r="L63" s="10">
        <v>743390</v>
      </c>
      <c r="M63" s="12">
        <v>29</v>
      </c>
      <c r="N63" s="29">
        <v>27577956471</v>
      </c>
      <c r="O63">
        <v>1331</v>
      </c>
      <c r="P63" s="27">
        <v>2.5999999999999998E-4</v>
      </c>
      <c r="Q63" s="32">
        <v>26326</v>
      </c>
      <c r="R63" s="13">
        <v>1572000000</v>
      </c>
      <c r="S63" s="13">
        <v>404</v>
      </c>
      <c r="V63" s="7" t="s">
        <v>65</v>
      </c>
      <c r="W63" s="6" t="s">
        <v>627</v>
      </c>
      <c r="X63" s="6" t="s">
        <v>603</v>
      </c>
      <c r="Y63" s="14" t="s">
        <v>1213</v>
      </c>
      <c r="Z63" s="1" t="s">
        <v>561</v>
      </c>
    </row>
    <row r="64" spans="1:26" ht="35" x14ac:dyDescent="0.2">
      <c r="A64" s="6">
        <v>63</v>
      </c>
      <c r="B64" s="6" t="s">
        <v>627</v>
      </c>
      <c r="C64" s="6" t="s">
        <v>605</v>
      </c>
      <c r="D64" s="14" t="s">
        <v>836</v>
      </c>
      <c r="E64" s="14" t="s">
        <v>1044</v>
      </c>
      <c r="F64" s="13">
        <v>235</v>
      </c>
      <c r="G64" s="1" t="s">
        <v>562</v>
      </c>
      <c r="H64" s="7" t="s">
        <v>66</v>
      </c>
      <c r="I64" s="14" t="s">
        <v>660</v>
      </c>
      <c r="J64" s="8">
        <v>21003705</v>
      </c>
      <c r="K64" s="9">
        <v>2.5999999999999999E-3</v>
      </c>
      <c r="L64" s="10">
        <v>1259200</v>
      </c>
      <c r="M64" s="12">
        <v>17</v>
      </c>
      <c r="N64" s="29">
        <v>13149325362</v>
      </c>
      <c r="O64">
        <v>681</v>
      </c>
      <c r="P64" s="27">
        <v>1.2E-4</v>
      </c>
      <c r="Q64" s="32">
        <v>20626</v>
      </c>
      <c r="R64" s="13">
        <v>879600000</v>
      </c>
      <c r="S64" s="13">
        <v>233</v>
      </c>
      <c r="V64" s="7" t="s">
        <v>66</v>
      </c>
      <c r="W64" s="6" t="s">
        <v>627</v>
      </c>
      <c r="X64" s="6" t="s">
        <v>605</v>
      </c>
      <c r="Y64" s="14" t="s">
        <v>1044</v>
      </c>
      <c r="Z64" s="1" t="s">
        <v>562</v>
      </c>
    </row>
    <row r="65" spans="1:26" ht="35" x14ac:dyDescent="0.2">
      <c r="A65" s="6">
        <v>64</v>
      </c>
      <c r="B65" s="6" t="s">
        <v>624</v>
      </c>
      <c r="C65" s="6" t="s">
        <v>611</v>
      </c>
      <c r="D65" s="14" t="s">
        <v>974</v>
      </c>
      <c r="E65" s="14" t="s">
        <v>1103</v>
      </c>
      <c r="F65" s="13">
        <v>7</v>
      </c>
      <c r="G65" s="1" t="s">
        <v>563</v>
      </c>
      <c r="H65" s="7" t="s">
        <v>67</v>
      </c>
      <c r="I65" s="14" t="s">
        <v>1220</v>
      </c>
      <c r="J65" s="8">
        <v>20843754</v>
      </c>
      <c r="K65" s="9">
        <v>2.5000000000000001E-3</v>
      </c>
      <c r="L65" s="10">
        <v>2699700</v>
      </c>
      <c r="M65" s="12">
        <v>8</v>
      </c>
      <c r="N65" s="29">
        <v>262642000000</v>
      </c>
      <c r="O65">
        <v>12919</v>
      </c>
      <c r="P65" s="27">
        <v>2.5000000000000001E-3</v>
      </c>
      <c r="Q65" s="32">
        <v>288406</v>
      </c>
      <c r="R65" s="13">
        <v>22770000000</v>
      </c>
      <c r="S65" s="13">
        <v>3397</v>
      </c>
      <c r="V65" s="7" t="s">
        <v>67</v>
      </c>
      <c r="W65" s="6" t="s">
        <v>624</v>
      </c>
      <c r="X65" s="6" t="s">
        <v>611</v>
      </c>
      <c r="Y65" s="14" t="s">
        <v>1103</v>
      </c>
      <c r="Z65" s="1" t="s">
        <v>563</v>
      </c>
    </row>
    <row r="66" spans="1:26" ht="35" x14ac:dyDescent="0.2">
      <c r="A66" s="6">
        <v>65</v>
      </c>
      <c r="B66" s="6" t="s">
        <v>625</v>
      </c>
      <c r="C66" s="6" t="s">
        <v>617</v>
      </c>
      <c r="D66" s="14" t="s">
        <v>993</v>
      </c>
      <c r="E66" s="14" t="s">
        <v>1045</v>
      </c>
      <c r="F66" s="13">
        <v>56</v>
      </c>
      <c r="G66" s="1" t="s">
        <v>564</v>
      </c>
      <c r="H66" s="7" t="s">
        <v>68</v>
      </c>
      <c r="I66" s="14" t="s">
        <v>661</v>
      </c>
      <c r="J66" s="8">
        <v>19859921</v>
      </c>
      <c r="K66" s="9">
        <v>2.3999999999999998E-3</v>
      </c>
      <c r="L66" s="10">
        <v>743532</v>
      </c>
      <c r="M66" s="12">
        <v>27</v>
      </c>
      <c r="N66" s="29">
        <v>335533000000</v>
      </c>
      <c r="O66">
        <v>17068</v>
      </c>
      <c r="P66" s="27">
        <v>3.2000000000000002E-3</v>
      </c>
      <c r="Q66" s="32">
        <v>330267</v>
      </c>
      <c r="R66" s="13">
        <v>35430000000</v>
      </c>
      <c r="S66" s="13">
        <v>5880</v>
      </c>
      <c r="V66" s="7" t="s">
        <v>68</v>
      </c>
      <c r="W66" s="6" t="s">
        <v>625</v>
      </c>
      <c r="X66" s="6" t="s">
        <v>617</v>
      </c>
      <c r="Y66" s="14" t="s">
        <v>1045</v>
      </c>
      <c r="Z66" s="1" t="s">
        <v>564</v>
      </c>
    </row>
    <row r="67" spans="1:26" ht="35" x14ac:dyDescent="0.2">
      <c r="A67" s="6">
        <v>66</v>
      </c>
      <c r="B67" s="6" t="s">
        <v>627</v>
      </c>
      <c r="C67" s="6" t="s">
        <v>603</v>
      </c>
      <c r="D67" s="14" t="s">
        <v>823</v>
      </c>
      <c r="E67" s="14" t="s">
        <v>1176</v>
      </c>
      <c r="F67" s="13">
        <v>252</v>
      </c>
      <c r="G67" s="1" t="s">
        <v>565</v>
      </c>
      <c r="H67" s="7" t="s">
        <v>69</v>
      </c>
      <c r="I67" s="14" t="s">
        <v>772</v>
      </c>
      <c r="J67" s="8">
        <v>19654739</v>
      </c>
      <c r="K67" s="9">
        <v>2.3999999999999998E-3</v>
      </c>
      <c r="L67" s="10">
        <v>627340</v>
      </c>
      <c r="M67" s="12">
        <v>31</v>
      </c>
      <c r="N67" s="29" t="e">
        <v>#N/A</v>
      </c>
      <c r="O67" t="e">
        <v>#N/A</v>
      </c>
      <c r="P67" s="27" t="e">
        <v>#N/A</v>
      </c>
      <c r="Q67" s="32">
        <v>12109</v>
      </c>
      <c r="R67" s="13">
        <v>3298000000</v>
      </c>
      <c r="S67" s="13">
        <v>912</v>
      </c>
      <c r="V67" s="7" t="s">
        <v>69</v>
      </c>
      <c r="W67" s="6" t="s">
        <v>627</v>
      </c>
      <c r="X67" s="6" t="s">
        <v>603</v>
      </c>
      <c r="Y67" s="14" t="s">
        <v>1176</v>
      </c>
      <c r="Z67" s="1" t="s">
        <v>565</v>
      </c>
    </row>
    <row r="68" spans="1:26" ht="35" x14ac:dyDescent="0.2">
      <c r="A68" s="6">
        <v>67</v>
      </c>
      <c r="B68" s="6" t="s">
        <v>627</v>
      </c>
      <c r="C68" s="6" t="s">
        <v>602</v>
      </c>
      <c r="D68" s="14" t="s">
        <v>850</v>
      </c>
      <c r="E68" s="14" t="s">
        <v>1168</v>
      </c>
      <c r="F68" s="13">
        <v>221</v>
      </c>
      <c r="G68" s="1" t="s">
        <v>566</v>
      </c>
      <c r="H68" s="7" t="s">
        <v>70</v>
      </c>
      <c r="I68" s="14" t="s">
        <v>765</v>
      </c>
      <c r="J68" s="8">
        <v>18931966</v>
      </c>
      <c r="K68" s="9">
        <v>2.3E-3</v>
      </c>
      <c r="L68" s="10">
        <v>192530</v>
      </c>
      <c r="M68" s="12">
        <v>98</v>
      </c>
      <c r="N68" s="29">
        <v>30848333084</v>
      </c>
      <c r="O68">
        <v>1706</v>
      </c>
      <c r="P68" s="27">
        <v>2.9E-4</v>
      </c>
      <c r="Q68" s="32">
        <v>32267</v>
      </c>
      <c r="R68" s="13">
        <v>2221000000</v>
      </c>
      <c r="S68" s="13">
        <v>581</v>
      </c>
      <c r="V68" s="7" t="s">
        <v>70</v>
      </c>
      <c r="W68" s="6" t="s">
        <v>627</v>
      </c>
      <c r="X68" s="6" t="s">
        <v>602</v>
      </c>
      <c r="Y68" s="14" t="s">
        <v>1168</v>
      </c>
      <c r="Z68" s="1" t="s">
        <v>566</v>
      </c>
    </row>
    <row r="69" spans="1:26" ht="35" x14ac:dyDescent="0.2">
      <c r="A69" s="6">
        <v>68</v>
      </c>
      <c r="B69" s="6" t="s">
        <v>626</v>
      </c>
      <c r="C69" s="6" t="s">
        <v>613</v>
      </c>
      <c r="D69" s="14" t="s">
        <v>891</v>
      </c>
      <c r="E69" s="14" t="s">
        <v>1157</v>
      </c>
      <c r="F69" s="13">
        <v>40</v>
      </c>
      <c r="G69" s="1" t="s">
        <v>567</v>
      </c>
      <c r="H69" s="7" t="s">
        <v>71</v>
      </c>
      <c r="I69" s="14" t="s">
        <v>757</v>
      </c>
      <c r="J69" s="8">
        <v>18908650</v>
      </c>
      <c r="K69" s="9">
        <v>2.3E-3</v>
      </c>
      <c r="L69" s="10">
        <v>230170</v>
      </c>
      <c r="M69" s="12">
        <v>82</v>
      </c>
      <c r="N69" s="29">
        <v>350776000000</v>
      </c>
      <c r="O69">
        <v>18347</v>
      </c>
      <c r="P69" s="27">
        <v>3.3E-3</v>
      </c>
      <c r="Q69" s="32">
        <v>382768</v>
      </c>
      <c r="R69" s="13">
        <v>6374000000</v>
      </c>
      <c r="S69" s="13">
        <v>883</v>
      </c>
      <c r="V69" s="7" t="s">
        <v>71</v>
      </c>
      <c r="W69" s="6" t="s">
        <v>626</v>
      </c>
      <c r="X69" s="6" t="s">
        <v>613</v>
      </c>
      <c r="Y69" s="14" t="s">
        <v>1157</v>
      </c>
      <c r="Z69" s="1" t="s">
        <v>567</v>
      </c>
    </row>
    <row r="70" spans="1:26" ht="35" x14ac:dyDescent="0.2">
      <c r="A70" s="6">
        <v>69</v>
      </c>
      <c r="B70" s="6" t="s">
        <v>625</v>
      </c>
      <c r="C70" s="6" t="s">
        <v>618</v>
      </c>
      <c r="D70" s="14" t="s">
        <v>902</v>
      </c>
      <c r="E70" s="14" t="s">
        <v>1082</v>
      </c>
      <c r="F70" s="13">
        <v>502</v>
      </c>
      <c r="G70" s="1" t="s">
        <v>568</v>
      </c>
      <c r="H70" s="7" t="s">
        <v>72</v>
      </c>
      <c r="I70" s="14" t="s">
        <v>695</v>
      </c>
      <c r="J70" s="8">
        <v>18687881</v>
      </c>
      <c r="K70" s="9">
        <v>2.3E-3</v>
      </c>
      <c r="L70" s="10">
        <v>107160</v>
      </c>
      <c r="M70" s="12">
        <v>174</v>
      </c>
      <c r="N70" s="29">
        <v>104450000000</v>
      </c>
      <c r="O70">
        <v>5763</v>
      </c>
      <c r="P70" s="27">
        <v>9.7999999999999997E-4</v>
      </c>
      <c r="Q70" s="32">
        <v>113200</v>
      </c>
      <c r="R70" s="13">
        <v>3324000000</v>
      </c>
      <c r="S70" s="13">
        <v>681</v>
      </c>
      <c r="V70" s="7" t="s">
        <v>72</v>
      </c>
      <c r="W70" s="6" t="s">
        <v>625</v>
      </c>
      <c r="X70" s="6" t="s">
        <v>618</v>
      </c>
      <c r="Y70" s="14" t="s">
        <v>1082</v>
      </c>
      <c r="Z70" s="1" t="s">
        <v>568</v>
      </c>
    </row>
    <row r="71" spans="1:26" ht="35" x14ac:dyDescent="0.2">
      <c r="A71" s="6">
        <v>70</v>
      </c>
      <c r="B71" s="6" t="s">
        <v>626</v>
      </c>
      <c r="C71" s="6" t="s">
        <v>614</v>
      </c>
      <c r="D71" s="14" t="s">
        <v>961</v>
      </c>
      <c r="E71" s="14" t="s">
        <v>1138</v>
      </c>
      <c r="F71" s="13">
        <v>31</v>
      </c>
      <c r="G71" s="1" t="s">
        <v>569</v>
      </c>
      <c r="H71" s="7" t="s">
        <v>73</v>
      </c>
      <c r="I71" s="14" t="s">
        <v>1221</v>
      </c>
      <c r="J71" s="8">
        <v>18346819</v>
      </c>
      <c r="K71" s="9">
        <v>2.2000000000000001E-3</v>
      </c>
      <c r="L71" s="10">
        <v>33720</v>
      </c>
      <c r="M71" s="12">
        <v>544</v>
      </c>
      <c r="N71" s="29">
        <v>1154360000000</v>
      </c>
      <c r="O71">
        <v>63803</v>
      </c>
      <c r="P71" s="27">
        <v>1.09E-2</v>
      </c>
      <c r="Q71" s="32">
        <v>1227544</v>
      </c>
      <c r="R71" s="13">
        <v>8919000000</v>
      </c>
      <c r="S71" s="13">
        <v>1435</v>
      </c>
      <c r="V71" s="7" t="s">
        <v>73</v>
      </c>
      <c r="W71" s="6" t="s">
        <v>626</v>
      </c>
      <c r="X71" s="6" t="s">
        <v>614</v>
      </c>
      <c r="Y71" s="14" t="s">
        <v>1138</v>
      </c>
      <c r="Z71" s="1" t="s">
        <v>569</v>
      </c>
    </row>
    <row r="72" spans="1:26" ht="35" x14ac:dyDescent="0.2">
      <c r="A72" s="6">
        <v>71</v>
      </c>
      <c r="B72" s="6" t="s">
        <v>625</v>
      </c>
      <c r="C72" s="6" t="s">
        <v>617</v>
      </c>
      <c r="D72" s="14" t="s">
        <v>900</v>
      </c>
      <c r="E72" s="14" t="s">
        <v>1063</v>
      </c>
      <c r="F72" s="13">
        <v>593</v>
      </c>
      <c r="G72" s="1" t="s">
        <v>570</v>
      </c>
      <c r="H72" s="7" t="s">
        <v>74</v>
      </c>
      <c r="I72" s="14" t="s">
        <v>676</v>
      </c>
      <c r="J72" s="8">
        <v>18289896</v>
      </c>
      <c r="K72" s="9">
        <v>2.2000000000000001E-3</v>
      </c>
      <c r="L72" s="10">
        <v>248360</v>
      </c>
      <c r="M72" s="12">
        <v>74</v>
      </c>
      <c r="N72" s="29">
        <v>118845000000</v>
      </c>
      <c r="O72">
        <v>6610</v>
      </c>
      <c r="P72" s="27">
        <v>1.1000000000000001E-3</v>
      </c>
      <c r="Q72" s="32">
        <v>124676</v>
      </c>
      <c r="R72" s="13">
        <v>9918000000</v>
      </c>
      <c r="S72" s="13">
        <v>1962</v>
      </c>
      <c r="V72" s="7" t="s">
        <v>74</v>
      </c>
      <c r="W72" s="6" t="s">
        <v>625</v>
      </c>
      <c r="X72" s="6" t="s">
        <v>617</v>
      </c>
      <c r="Y72" s="14" t="s">
        <v>1063</v>
      </c>
      <c r="Z72" s="1" t="s">
        <v>570</v>
      </c>
    </row>
    <row r="73" spans="1:26" ht="35" x14ac:dyDescent="0.2">
      <c r="A73" s="6">
        <v>72</v>
      </c>
      <c r="B73" s="6" t="s">
        <v>624</v>
      </c>
      <c r="C73" s="6" t="s">
        <v>609</v>
      </c>
      <c r="D73" s="14" t="s">
        <v>898</v>
      </c>
      <c r="E73" s="14" t="s">
        <v>1040</v>
      </c>
      <c r="F73" s="13">
        <v>855</v>
      </c>
      <c r="G73" s="1" t="s">
        <v>571</v>
      </c>
      <c r="H73" s="7" t="s">
        <v>75</v>
      </c>
      <c r="I73" s="14" t="s">
        <v>655</v>
      </c>
      <c r="J73" s="8">
        <v>17847982</v>
      </c>
      <c r="K73" s="9">
        <v>2.2000000000000001E-3</v>
      </c>
      <c r="L73" s="10">
        <v>176520</v>
      </c>
      <c r="M73" s="12">
        <v>101</v>
      </c>
      <c r="N73" s="29">
        <v>42335646896</v>
      </c>
      <c r="O73">
        <v>2430</v>
      </c>
      <c r="P73" s="27">
        <v>4.0000000000000002E-4</v>
      </c>
      <c r="Q73" s="32">
        <v>46353</v>
      </c>
      <c r="R73" s="13">
        <v>2184000000</v>
      </c>
      <c r="S73" s="13">
        <v>439</v>
      </c>
      <c r="V73" s="7" t="s">
        <v>75</v>
      </c>
      <c r="W73" s="6" t="s">
        <v>624</v>
      </c>
      <c r="X73" s="6" t="s">
        <v>609</v>
      </c>
      <c r="Y73" s="14" t="s">
        <v>1040</v>
      </c>
      <c r="Z73" s="1" t="s">
        <v>571</v>
      </c>
    </row>
    <row r="74" spans="1:26" ht="35" x14ac:dyDescent="0.2">
      <c r="A74" s="6">
        <v>73</v>
      </c>
      <c r="B74" s="6" t="s">
        <v>627</v>
      </c>
      <c r="C74" s="6" t="s">
        <v>603</v>
      </c>
      <c r="D74" s="14" t="s">
        <v>830</v>
      </c>
      <c r="E74" s="14" t="s">
        <v>1214</v>
      </c>
      <c r="F74" s="13">
        <v>263</v>
      </c>
      <c r="G74" s="1" t="s">
        <v>572</v>
      </c>
      <c r="H74" s="7" t="s">
        <v>76</v>
      </c>
      <c r="I74" s="14" t="s">
        <v>798</v>
      </c>
      <c r="J74" s="8">
        <v>16950795</v>
      </c>
      <c r="K74" s="9">
        <v>2.0999999999999999E-3</v>
      </c>
      <c r="L74" s="10">
        <v>386850</v>
      </c>
      <c r="M74" s="12">
        <v>44</v>
      </c>
      <c r="N74" s="29">
        <v>35231367886</v>
      </c>
      <c r="O74">
        <v>2156</v>
      </c>
      <c r="P74" s="27">
        <v>3.3E-4</v>
      </c>
      <c r="Q74" s="32">
        <v>44188</v>
      </c>
      <c r="R74" s="13">
        <v>3570000000</v>
      </c>
      <c r="S74" s="13">
        <v>764</v>
      </c>
      <c r="V74" s="7" t="s">
        <v>76</v>
      </c>
      <c r="W74" s="6" t="s">
        <v>627</v>
      </c>
      <c r="X74" s="6" t="s">
        <v>603</v>
      </c>
      <c r="Y74" s="14" t="s">
        <v>1214</v>
      </c>
      <c r="Z74" s="1" t="s">
        <v>572</v>
      </c>
    </row>
    <row r="75" spans="1:26" ht="35" x14ac:dyDescent="0.2">
      <c r="A75" s="6">
        <v>74</v>
      </c>
      <c r="B75" s="6" t="s">
        <v>627</v>
      </c>
      <c r="C75" s="6" t="s">
        <v>602</v>
      </c>
      <c r="D75" s="14" t="s">
        <v>843</v>
      </c>
      <c r="E75" s="14" t="s">
        <v>1083</v>
      </c>
      <c r="F75" s="13">
        <v>224</v>
      </c>
      <c r="G75" s="1" t="s">
        <v>573</v>
      </c>
      <c r="H75" s="7" t="s">
        <v>77</v>
      </c>
      <c r="I75" s="14" t="s">
        <v>696</v>
      </c>
      <c r="J75" s="8">
        <v>15099727</v>
      </c>
      <c r="K75" s="9">
        <v>1.8E-3</v>
      </c>
      <c r="L75" s="10">
        <v>245720</v>
      </c>
      <c r="M75" s="12">
        <v>61</v>
      </c>
      <c r="N75" s="29">
        <v>22199409741</v>
      </c>
      <c r="O75">
        <v>1541</v>
      </c>
      <c r="P75" s="27">
        <v>2.1000000000000001E-4</v>
      </c>
      <c r="Q75" s="32">
        <v>25334</v>
      </c>
      <c r="R75" s="13">
        <v>553300000</v>
      </c>
      <c r="S75" s="13">
        <v>178</v>
      </c>
      <c r="V75" s="7" t="s">
        <v>77</v>
      </c>
      <c r="W75" s="6" t="s">
        <v>627</v>
      </c>
      <c r="X75" s="6" t="s">
        <v>602</v>
      </c>
      <c r="Y75" s="14" t="s">
        <v>1083</v>
      </c>
      <c r="Z75" s="1" t="s">
        <v>573</v>
      </c>
    </row>
    <row r="76" spans="1:26" ht="35" x14ac:dyDescent="0.2">
      <c r="A76" s="6">
        <v>75</v>
      </c>
      <c r="B76" s="6" t="s">
        <v>627</v>
      </c>
      <c r="C76" s="6" t="s">
        <v>602</v>
      </c>
      <c r="D76" s="14" t="s">
        <v>831</v>
      </c>
      <c r="E76" s="14" t="s">
        <v>1029</v>
      </c>
      <c r="F76" s="13">
        <v>229</v>
      </c>
      <c r="G76" s="1" t="s">
        <v>574</v>
      </c>
      <c r="H76" s="7" t="s">
        <v>78</v>
      </c>
      <c r="I76" s="14" t="s">
        <v>1222</v>
      </c>
      <c r="J76" s="8">
        <v>14814460</v>
      </c>
      <c r="K76" s="9">
        <v>1.8E-3</v>
      </c>
      <c r="L76" s="10">
        <v>112760</v>
      </c>
      <c r="M76" s="12">
        <v>131</v>
      </c>
      <c r="N76" s="29">
        <v>19676049076</v>
      </c>
      <c r="O76">
        <v>1394</v>
      </c>
      <c r="P76" s="27">
        <v>1.9000000000000001E-4</v>
      </c>
      <c r="Q76" s="32">
        <v>21483</v>
      </c>
      <c r="R76" s="13">
        <v>130000000</v>
      </c>
      <c r="S76" s="13">
        <v>48</v>
      </c>
      <c r="V76" s="7" t="s">
        <v>78</v>
      </c>
      <c r="W76" s="6" t="s">
        <v>627</v>
      </c>
      <c r="X76" s="6" t="s">
        <v>602</v>
      </c>
      <c r="Y76" s="14" t="s">
        <v>1029</v>
      </c>
      <c r="Z76" s="1" t="s">
        <v>574</v>
      </c>
    </row>
    <row r="77" spans="1:26" ht="35" x14ac:dyDescent="0.2">
      <c r="A77" s="6">
        <v>76</v>
      </c>
      <c r="B77" s="6" t="s">
        <v>627</v>
      </c>
      <c r="C77" s="6" t="s">
        <v>603</v>
      </c>
      <c r="D77" s="14" t="s">
        <v>820</v>
      </c>
      <c r="E77" s="14" t="s">
        <v>1159</v>
      </c>
      <c r="F77" s="13">
        <v>250</v>
      </c>
      <c r="G77" s="1" t="s">
        <v>575</v>
      </c>
      <c r="H77" s="7" t="s">
        <v>79</v>
      </c>
      <c r="I77" s="14" t="s">
        <v>759</v>
      </c>
      <c r="J77" s="8">
        <v>14569341</v>
      </c>
      <c r="K77" s="9">
        <v>1.8E-3</v>
      </c>
      <c r="L77" s="10">
        <v>24670</v>
      </c>
      <c r="M77" s="12">
        <v>591</v>
      </c>
      <c r="N77" s="29">
        <v>14097768472</v>
      </c>
      <c r="O77">
        <v>1010</v>
      </c>
      <c r="P77" s="27">
        <v>1.2999999999999999E-4</v>
      </c>
      <c r="Q77" s="32">
        <v>14252</v>
      </c>
      <c r="R77" s="13">
        <v>150000000</v>
      </c>
      <c r="S77" s="13">
        <v>50</v>
      </c>
      <c r="V77" s="7" t="s">
        <v>79</v>
      </c>
      <c r="W77" s="6" t="s">
        <v>627</v>
      </c>
      <c r="X77" s="6" t="s">
        <v>603</v>
      </c>
      <c r="Y77" s="14" t="s">
        <v>1159</v>
      </c>
      <c r="Z77" s="1" t="s">
        <v>575</v>
      </c>
    </row>
    <row r="78" spans="1:26" ht="35" x14ac:dyDescent="0.2">
      <c r="A78" s="6">
        <v>77</v>
      </c>
      <c r="B78" s="6" t="s">
        <v>627</v>
      </c>
      <c r="C78" s="6" t="s">
        <v>603</v>
      </c>
      <c r="D78" s="14" t="s">
        <v>807</v>
      </c>
      <c r="E78" s="14" t="s">
        <v>1038</v>
      </c>
      <c r="F78" s="13">
        <v>257</v>
      </c>
      <c r="G78" s="1" t="s">
        <v>576</v>
      </c>
      <c r="H78" s="7" t="s">
        <v>80</v>
      </c>
      <c r="I78" s="14" t="s">
        <v>1226</v>
      </c>
      <c r="J78" s="8">
        <v>14390003</v>
      </c>
      <c r="K78" s="9">
        <v>1.6999999999999999E-3</v>
      </c>
      <c r="L78" s="10">
        <v>25680</v>
      </c>
      <c r="M78" s="12">
        <v>560</v>
      </c>
      <c r="N78" s="29">
        <v>2642161669</v>
      </c>
      <c r="O78">
        <v>193</v>
      </c>
      <c r="P78" s="27">
        <v>2.5000000000000001E-5</v>
      </c>
      <c r="Q78" s="32">
        <v>2162</v>
      </c>
      <c r="R78" s="13">
        <v>288000000</v>
      </c>
      <c r="S78" s="13">
        <v>122</v>
      </c>
      <c r="V78" s="7" t="s">
        <v>80</v>
      </c>
      <c r="W78" s="6" t="s">
        <v>627</v>
      </c>
      <c r="X78" s="6" t="s">
        <v>603</v>
      </c>
      <c r="Y78" s="14" t="s">
        <v>1038</v>
      </c>
      <c r="Z78" s="1" t="s">
        <v>576</v>
      </c>
    </row>
    <row r="79" spans="1:26" ht="35" x14ac:dyDescent="0.2">
      <c r="A79" s="6">
        <v>78</v>
      </c>
      <c r="B79" s="6" t="s">
        <v>625</v>
      </c>
      <c r="C79" s="6" t="s">
        <v>617</v>
      </c>
      <c r="D79" s="14" t="s">
        <v>897</v>
      </c>
      <c r="E79" s="14" t="s">
        <v>1031</v>
      </c>
      <c r="F79" s="13">
        <v>591</v>
      </c>
      <c r="G79" s="1" t="s">
        <v>577</v>
      </c>
      <c r="H79" s="7" t="s">
        <v>81</v>
      </c>
      <c r="I79" s="14" t="s">
        <v>1223</v>
      </c>
      <c r="J79" s="8">
        <v>12581843</v>
      </c>
      <c r="K79" s="9">
        <v>1.5E-3</v>
      </c>
      <c r="L79" s="10">
        <v>1083300</v>
      </c>
      <c r="M79" s="12">
        <v>12</v>
      </c>
      <c r="N79" s="29">
        <v>45135398009</v>
      </c>
      <c r="O79">
        <v>3686</v>
      </c>
      <c r="P79" s="27">
        <v>4.2999999999999999E-4</v>
      </c>
      <c r="Q79" s="32">
        <v>49668</v>
      </c>
      <c r="R79" s="13">
        <v>2088000000</v>
      </c>
      <c r="S79" s="13">
        <v>571</v>
      </c>
      <c r="V79" s="7" t="s">
        <v>81</v>
      </c>
      <c r="W79" s="6" t="s">
        <v>625</v>
      </c>
      <c r="X79" s="6" t="s">
        <v>617</v>
      </c>
      <c r="Y79" s="14" t="s">
        <v>1031</v>
      </c>
      <c r="Z79" s="1" t="s">
        <v>577</v>
      </c>
    </row>
    <row r="80" spans="1:26" ht="35" x14ac:dyDescent="0.2">
      <c r="A80" s="6">
        <v>79</v>
      </c>
      <c r="B80" s="6" t="s">
        <v>627</v>
      </c>
      <c r="C80" s="6" t="s">
        <v>604</v>
      </c>
      <c r="D80" s="14" t="s">
        <v>867</v>
      </c>
      <c r="E80" s="14" t="s">
        <v>1198</v>
      </c>
      <c r="F80" s="13">
        <v>216</v>
      </c>
      <c r="G80" s="1" t="s">
        <v>578</v>
      </c>
      <c r="H80" s="7" t="s">
        <v>82</v>
      </c>
      <c r="I80" s="14" t="s">
        <v>786</v>
      </c>
      <c r="J80" s="8">
        <v>12348573</v>
      </c>
      <c r="K80" s="9">
        <v>1.5E-3</v>
      </c>
      <c r="L80" s="10">
        <v>155360</v>
      </c>
      <c r="M80" s="12">
        <v>79</v>
      </c>
      <c r="N80" s="29">
        <v>48529595417</v>
      </c>
      <c r="O80">
        <v>3978</v>
      </c>
      <c r="P80" s="27">
        <v>4.6000000000000001E-4</v>
      </c>
      <c r="Q80" s="32">
        <v>53410</v>
      </c>
      <c r="R80" s="13">
        <v>4875000000</v>
      </c>
      <c r="S80" s="13">
        <v>1146</v>
      </c>
      <c r="V80" s="7" t="s">
        <v>82</v>
      </c>
      <c r="W80" s="6" t="s">
        <v>627</v>
      </c>
      <c r="X80" s="6" t="s">
        <v>604</v>
      </c>
      <c r="Y80" s="14" t="s">
        <v>1198</v>
      </c>
      <c r="Z80" s="1" t="s">
        <v>578</v>
      </c>
    </row>
    <row r="81" spans="1:26" ht="35" x14ac:dyDescent="0.2">
      <c r="A81" s="6">
        <v>80</v>
      </c>
      <c r="B81" s="6" t="s">
        <v>627</v>
      </c>
      <c r="C81" s="6" t="s">
        <v>603</v>
      </c>
      <c r="D81" s="14" t="s">
        <v>825</v>
      </c>
      <c r="E81" s="14" t="s">
        <v>1179</v>
      </c>
      <c r="F81" s="13">
        <v>211</v>
      </c>
      <c r="G81" s="1" t="s">
        <v>579</v>
      </c>
      <c r="H81" s="7" t="s">
        <v>83</v>
      </c>
      <c r="I81" s="14" t="s">
        <v>774</v>
      </c>
      <c r="J81" s="8">
        <v>12188788</v>
      </c>
      <c r="K81" s="9">
        <v>1.5E-3</v>
      </c>
      <c r="L81" s="10">
        <v>610952</v>
      </c>
      <c r="M81" s="12">
        <v>20</v>
      </c>
      <c r="N81" s="29" t="e">
        <v>#N/A</v>
      </c>
      <c r="O81" t="e">
        <v>#N/A</v>
      </c>
      <c r="P81" s="27" t="e">
        <v>#N/A</v>
      </c>
      <c r="Q81" s="32" t="s">
        <v>1319</v>
      </c>
      <c r="R81" s="13">
        <v>658000000</v>
      </c>
      <c r="S81" s="13">
        <v>175</v>
      </c>
      <c r="V81" s="7" t="s">
        <v>83</v>
      </c>
      <c r="W81" s="6" t="s">
        <v>627</v>
      </c>
      <c r="X81" s="6" t="s">
        <v>603</v>
      </c>
      <c r="Y81" s="14" t="s">
        <v>1179</v>
      </c>
      <c r="Z81" s="1" t="s">
        <v>579</v>
      </c>
    </row>
    <row r="82" spans="1:26" ht="35" x14ac:dyDescent="0.2">
      <c r="A82" s="6">
        <v>81</v>
      </c>
      <c r="B82" s="6" t="s">
        <v>628</v>
      </c>
      <c r="C82" s="6" t="s">
        <v>619</v>
      </c>
      <c r="D82" s="14" t="s">
        <v>903</v>
      </c>
      <c r="E82" s="14" t="s">
        <v>1086</v>
      </c>
      <c r="F82" s="13">
        <v>509</v>
      </c>
      <c r="G82" s="1" t="s">
        <v>580</v>
      </c>
      <c r="H82" s="7" t="s">
        <v>84</v>
      </c>
      <c r="I82" s="14" t="s">
        <v>699</v>
      </c>
      <c r="J82" s="8">
        <v>11906095</v>
      </c>
      <c r="K82" s="9">
        <v>1.4E-3</v>
      </c>
      <c r="L82" s="10">
        <v>27560</v>
      </c>
      <c r="M82" s="12">
        <v>432</v>
      </c>
      <c r="N82" s="29">
        <v>19850829758</v>
      </c>
      <c r="O82">
        <v>1706</v>
      </c>
      <c r="P82" s="27">
        <v>1.9000000000000001E-4</v>
      </c>
      <c r="Q82" s="32">
        <v>25224</v>
      </c>
      <c r="R82" s="13">
        <v>1450000000</v>
      </c>
      <c r="S82" s="13">
        <v>410</v>
      </c>
      <c r="V82" s="7" t="s">
        <v>84</v>
      </c>
      <c r="W82" s="6" t="s">
        <v>628</v>
      </c>
      <c r="X82" s="6" t="s">
        <v>619</v>
      </c>
      <c r="Y82" s="14" t="s">
        <v>1086</v>
      </c>
      <c r="Z82" s="1" t="s">
        <v>580</v>
      </c>
    </row>
    <row r="83" spans="1:26" ht="35" x14ac:dyDescent="0.2">
      <c r="A83" s="6">
        <v>82</v>
      </c>
      <c r="B83" s="6" t="s">
        <v>626</v>
      </c>
      <c r="C83" s="6" t="s">
        <v>614</v>
      </c>
      <c r="D83" s="14" t="s">
        <v>951</v>
      </c>
      <c r="E83" s="14" t="s">
        <v>1027</v>
      </c>
      <c r="F83" s="13">
        <v>32</v>
      </c>
      <c r="G83" s="1" t="s">
        <v>581</v>
      </c>
      <c r="H83" s="7" t="s">
        <v>85</v>
      </c>
      <c r="I83" s="14" t="s">
        <v>646</v>
      </c>
      <c r="J83" s="8">
        <v>11758603</v>
      </c>
      <c r="K83" s="9">
        <v>1.4E-3</v>
      </c>
      <c r="L83" s="10">
        <v>30280</v>
      </c>
      <c r="M83" s="12">
        <v>388</v>
      </c>
      <c r="N83" s="29">
        <v>644783000000</v>
      </c>
      <c r="O83">
        <v>55049</v>
      </c>
      <c r="P83" s="27">
        <v>6.1000000000000004E-3</v>
      </c>
      <c r="Q83" s="32">
        <v>664564</v>
      </c>
      <c r="R83" s="13">
        <v>6005000000</v>
      </c>
      <c r="S83" s="13">
        <v>1522</v>
      </c>
      <c r="V83" s="7" t="s">
        <v>85</v>
      </c>
      <c r="W83" s="6" t="s">
        <v>626</v>
      </c>
      <c r="X83" s="6" t="s">
        <v>614</v>
      </c>
      <c r="Y83" s="14" t="s">
        <v>1027</v>
      </c>
      <c r="Z83" s="1" t="s">
        <v>581</v>
      </c>
    </row>
    <row r="84" spans="1:26" ht="35" x14ac:dyDescent="0.2">
      <c r="A84" s="6">
        <v>83</v>
      </c>
      <c r="B84" s="6" t="s">
        <v>624</v>
      </c>
      <c r="C84" s="6" t="s">
        <v>610</v>
      </c>
      <c r="D84" s="14" t="s">
        <v>858</v>
      </c>
      <c r="E84" s="14" t="s">
        <v>1102</v>
      </c>
      <c r="F84" s="13">
        <v>962</v>
      </c>
      <c r="G84" s="1" t="s">
        <v>582</v>
      </c>
      <c r="H84" s="7" t="s">
        <v>86</v>
      </c>
      <c r="I84" s="14" t="s">
        <v>711</v>
      </c>
      <c r="J84" s="8">
        <v>11520684</v>
      </c>
      <c r="K84" s="9">
        <v>1.4E-3</v>
      </c>
      <c r="L84" s="10">
        <v>88780</v>
      </c>
      <c r="M84" s="12">
        <v>130</v>
      </c>
      <c r="N84" s="29">
        <v>50967475352</v>
      </c>
      <c r="O84">
        <v>4456</v>
      </c>
      <c r="P84" s="27">
        <v>4.8000000000000001E-4</v>
      </c>
      <c r="Q84" s="32">
        <v>53352</v>
      </c>
      <c r="R84" s="13">
        <v>1044000000</v>
      </c>
      <c r="S84" s="13">
        <v>286</v>
      </c>
      <c r="V84" s="7" t="s">
        <v>86</v>
      </c>
      <c r="W84" s="6" t="s">
        <v>624</v>
      </c>
      <c r="X84" s="6" t="s">
        <v>610</v>
      </c>
      <c r="Y84" s="14" t="s">
        <v>1102</v>
      </c>
      <c r="Z84" s="1" t="s">
        <v>582</v>
      </c>
    </row>
    <row r="85" spans="1:26" ht="35" x14ac:dyDescent="0.2">
      <c r="A85" s="6">
        <v>84</v>
      </c>
      <c r="B85" s="6" t="s">
        <v>628</v>
      </c>
      <c r="C85" s="6" t="s">
        <v>619</v>
      </c>
      <c r="D85" s="14" t="s">
        <v>899</v>
      </c>
      <c r="E85" s="14" t="s">
        <v>1061</v>
      </c>
      <c r="F85" s="13" t="s">
        <v>1060</v>
      </c>
      <c r="G85" s="1" t="s">
        <v>583</v>
      </c>
      <c r="H85" s="7" t="s">
        <v>87</v>
      </c>
      <c r="I85" s="14" t="s">
        <v>674</v>
      </c>
      <c r="J85" s="8">
        <v>11520487</v>
      </c>
      <c r="K85" s="9">
        <v>1.4E-3</v>
      </c>
      <c r="L85" s="10">
        <v>48320</v>
      </c>
      <c r="M85" s="12">
        <v>238</v>
      </c>
      <c r="N85" s="29">
        <v>121444000000</v>
      </c>
      <c r="O85">
        <v>10718</v>
      </c>
      <c r="P85" s="27">
        <v>1.1000000000000001E-3</v>
      </c>
      <c r="Q85" s="32">
        <v>124282</v>
      </c>
      <c r="R85" s="13">
        <v>7156000000</v>
      </c>
      <c r="S85" s="13">
        <v>1996</v>
      </c>
      <c r="V85" s="7" t="s">
        <v>87</v>
      </c>
      <c r="W85" s="6" t="s">
        <v>628</v>
      </c>
      <c r="X85" s="6" t="s">
        <v>619</v>
      </c>
      <c r="Y85" s="14" t="s">
        <v>1061</v>
      </c>
      <c r="Z85" s="1" t="s">
        <v>583</v>
      </c>
    </row>
    <row r="86" spans="1:26" ht="35" x14ac:dyDescent="0.2">
      <c r="A86" s="6">
        <v>85</v>
      </c>
      <c r="B86" s="6" t="s">
        <v>624</v>
      </c>
      <c r="C86" s="6" t="s">
        <v>610</v>
      </c>
      <c r="D86" s="14" t="s">
        <v>868</v>
      </c>
      <c r="E86" s="14" t="s">
        <v>1204</v>
      </c>
      <c r="F86" s="13">
        <v>971</v>
      </c>
      <c r="G86" s="1" t="s">
        <v>517</v>
      </c>
      <c r="H86" s="7" t="s">
        <v>88</v>
      </c>
      <c r="I86" s="14" t="s">
        <v>790</v>
      </c>
      <c r="J86" s="8">
        <v>11346000</v>
      </c>
      <c r="K86" s="9">
        <v>1.4E-3</v>
      </c>
      <c r="L86" s="10">
        <v>83600</v>
      </c>
      <c r="M86" s="12">
        <v>136</v>
      </c>
      <c r="N86" s="29">
        <v>514130000000</v>
      </c>
      <c r="O86">
        <v>48311</v>
      </c>
      <c r="P86" s="27">
        <v>4.7999999999999996E-3</v>
      </c>
      <c r="Q86" s="32">
        <v>537079</v>
      </c>
      <c r="R86" s="13">
        <v>3998000000</v>
      </c>
      <c r="S86" s="13">
        <v>2348</v>
      </c>
      <c r="V86" s="7" t="s">
        <v>88</v>
      </c>
      <c r="W86" s="6" t="s">
        <v>624</v>
      </c>
      <c r="X86" s="6" t="s">
        <v>610</v>
      </c>
      <c r="Y86" s="14" t="s">
        <v>1204</v>
      </c>
      <c r="Z86" s="1" t="s">
        <v>517</v>
      </c>
    </row>
    <row r="87" spans="1:26" ht="35" x14ac:dyDescent="0.2">
      <c r="A87" s="6">
        <v>86</v>
      </c>
      <c r="B87" s="6" t="s">
        <v>625</v>
      </c>
      <c r="C87" s="6" t="s">
        <v>618</v>
      </c>
      <c r="D87" s="14" t="s">
        <v>904</v>
      </c>
      <c r="E87" s="14" t="s">
        <v>1089</v>
      </c>
      <c r="F87" s="13">
        <v>504</v>
      </c>
      <c r="G87" s="1" t="s">
        <v>585</v>
      </c>
      <c r="H87" s="7" t="s">
        <v>89</v>
      </c>
      <c r="I87" s="14" t="s">
        <v>700</v>
      </c>
      <c r="J87" s="8">
        <v>11005850</v>
      </c>
      <c r="K87" s="9">
        <v>1.2999999999999999E-3</v>
      </c>
      <c r="L87" s="10">
        <v>111890</v>
      </c>
      <c r="M87" s="12">
        <v>98</v>
      </c>
      <c r="N87" s="29">
        <v>34400509852</v>
      </c>
      <c r="O87">
        <v>3232</v>
      </c>
      <c r="P87" s="27">
        <v>3.2000000000000003E-4</v>
      </c>
      <c r="Q87" s="32">
        <v>37094</v>
      </c>
      <c r="R87" s="13">
        <v>1607000000</v>
      </c>
      <c r="S87" s="13">
        <v>618</v>
      </c>
      <c r="V87" s="7" t="s">
        <v>89</v>
      </c>
      <c r="W87" s="6" t="s">
        <v>625</v>
      </c>
      <c r="X87" s="6" t="s">
        <v>618</v>
      </c>
      <c r="Y87" s="14" t="s">
        <v>1089</v>
      </c>
      <c r="Z87" s="1" t="s">
        <v>585</v>
      </c>
    </row>
    <row r="88" spans="1:26" ht="35" x14ac:dyDescent="0.2">
      <c r="A88" s="6">
        <v>87</v>
      </c>
      <c r="B88" s="6" t="s">
        <v>628</v>
      </c>
      <c r="C88" s="6" t="s">
        <v>619</v>
      </c>
      <c r="D88" s="14" t="s">
        <v>1001</v>
      </c>
      <c r="E88" s="14" t="s">
        <v>1053</v>
      </c>
      <c r="F88" s="13">
        <v>53</v>
      </c>
      <c r="G88" s="1" t="s">
        <v>586</v>
      </c>
      <c r="H88" s="7" t="s">
        <v>90</v>
      </c>
      <c r="I88" s="14" t="s">
        <v>669</v>
      </c>
      <c r="J88" s="8">
        <v>10937203</v>
      </c>
      <c r="K88" s="9">
        <v>1.2999999999999999E-3</v>
      </c>
      <c r="L88" s="10">
        <v>106440</v>
      </c>
      <c r="M88" s="12">
        <v>103</v>
      </c>
      <c r="N88" s="29" t="e">
        <v>#N/A</v>
      </c>
      <c r="O88" t="e">
        <v>#N/A</v>
      </c>
      <c r="P88" s="27" t="e">
        <v>#N/A</v>
      </c>
      <c r="Q88" s="32">
        <v>201986</v>
      </c>
      <c r="R88" s="13">
        <v>6959000000</v>
      </c>
      <c r="S88" s="13">
        <v>1688</v>
      </c>
      <c r="V88" s="7" t="s">
        <v>90</v>
      </c>
      <c r="W88" s="6" t="s">
        <v>628</v>
      </c>
      <c r="X88" s="6" t="s">
        <v>619</v>
      </c>
      <c r="Y88" s="14" t="s">
        <v>1053</v>
      </c>
      <c r="Z88" s="1" t="s">
        <v>586</v>
      </c>
    </row>
    <row r="89" spans="1:26" ht="35" x14ac:dyDescent="0.2">
      <c r="A89" s="6">
        <v>88</v>
      </c>
      <c r="B89" s="6" t="s">
        <v>624</v>
      </c>
      <c r="C89" s="6" t="s">
        <v>611</v>
      </c>
      <c r="D89" s="14" t="s">
        <v>925</v>
      </c>
      <c r="E89" s="14" t="s">
        <v>1190</v>
      </c>
      <c r="F89" s="13">
        <v>992</v>
      </c>
      <c r="G89" s="1" t="s">
        <v>587</v>
      </c>
      <c r="H89" s="7" t="s">
        <v>91</v>
      </c>
      <c r="I89" s="14" t="s">
        <v>781</v>
      </c>
      <c r="J89" s="8">
        <v>10786734</v>
      </c>
      <c r="K89" s="9">
        <v>1.2999999999999999E-3</v>
      </c>
      <c r="L89" s="10">
        <v>139960</v>
      </c>
      <c r="M89" s="12">
        <v>77</v>
      </c>
      <c r="N89" s="29">
        <v>12060602009</v>
      </c>
      <c r="O89">
        <v>1161</v>
      </c>
      <c r="P89" s="27">
        <v>1.1E-4</v>
      </c>
      <c r="Q89" s="32">
        <v>14205</v>
      </c>
      <c r="R89" s="13">
        <v>11490000000</v>
      </c>
      <c r="S89" s="13">
        <v>4460</v>
      </c>
      <c r="V89" s="7" t="s">
        <v>91</v>
      </c>
      <c r="W89" s="6" t="s">
        <v>624</v>
      </c>
      <c r="X89" s="6" t="s">
        <v>611</v>
      </c>
      <c r="Y89" s="14" t="s">
        <v>1190</v>
      </c>
      <c r="Z89" s="1" t="s">
        <v>587</v>
      </c>
    </row>
    <row r="90" spans="1:26" ht="35" x14ac:dyDescent="0.2">
      <c r="A90" s="6">
        <v>89</v>
      </c>
      <c r="B90" s="6" t="s">
        <v>628</v>
      </c>
      <c r="C90" s="6" t="s">
        <v>621</v>
      </c>
      <c r="D90" s="14" t="s">
        <v>919</v>
      </c>
      <c r="E90" s="14" t="s">
        <v>1150</v>
      </c>
      <c r="F90" s="13">
        <v>675</v>
      </c>
      <c r="G90" s="1" t="s">
        <v>588</v>
      </c>
      <c r="H90" s="7" t="s">
        <v>92</v>
      </c>
      <c r="I90" s="14" t="s">
        <v>750</v>
      </c>
      <c r="J90" s="8">
        <v>10762817</v>
      </c>
      <c r="K90" s="9">
        <v>1.2999999999999999E-3</v>
      </c>
      <c r="L90" s="10">
        <v>452860</v>
      </c>
      <c r="M90" s="12">
        <v>24</v>
      </c>
      <c r="N90" s="29">
        <v>30729242919</v>
      </c>
      <c r="O90">
        <v>2958</v>
      </c>
      <c r="P90" s="27">
        <v>2.9E-4</v>
      </c>
      <c r="Q90" s="32">
        <v>32538</v>
      </c>
      <c r="R90" s="13">
        <v>392100000</v>
      </c>
      <c r="S90" s="13">
        <v>164</v>
      </c>
      <c r="V90" s="7" t="s">
        <v>92</v>
      </c>
      <c r="W90" s="6" t="s">
        <v>628</v>
      </c>
      <c r="X90" s="6" t="s">
        <v>621</v>
      </c>
      <c r="Y90" s="14" t="s">
        <v>1150</v>
      </c>
      <c r="Z90" s="1" t="s">
        <v>588</v>
      </c>
    </row>
    <row r="91" spans="1:26" ht="35" x14ac:dyDescent="0.2">
      <c r="A91" s="6">
        <v>90</v>
      </c>
      <c r="B91" s="6" t="s">
        <v>626</v>
      </c>
      <c r="C91" s="6" t="s">
        <v>615</v>
      </c>
      <c r="D91" s="14" t="s">
        <v>987</v>
      </c>
      <c r="E91" s="14" t="s">
        <v>1187</v>
      </c>
      <c r="F91" s="13">
        <v>46</v>
      </c>
      <c r="G91" s="1" t="s">
        <v>589</v>
      </c>
      <c r="H91" s="7" t="s">
        <v>93</v>
      </c>
      <c r="I91" s="14" t="s">
        <v>778</v>
      </c>
      <c r="J91" s="8">
        <v>10656633</v>
      </c>
      <c r="K91" s="9">
        <v>1.2999999999999999E-3</v>
      </c>
      <c r="L91" s="10">
        <v>410340</v>
      </c>
      <c r="M91" s="12">
        <v>26</v>
      </c>
      <c r="N91" s="29">
        <v>584960000000</v>
      </c>
      <c r="O91">
        <v>55439</v>
      </c>
      <c r="P91" s="27">
        <v>5.4999999999999997E-3</v>
      </c>
      <c r="Q91" s="32">
        <v>610118</v>
      </c>
      <c r="R91" s="13">
        <v>2689000000</v>
      </c>
      <c r="S91" s="13">
        <v>786</v>
      </c>
      <c r="V91" s="7" t="s">
        <v>93</v>
      </c>
      <c r="W91" s="6" t="s">
        <v>626</v>
      </c>
      <c r="X91" s="6" t="s">
        <v>615</v>
      </c>
      <c r="Y91" s="14" t="s">
        <v>1187</v>
      </c>
      <c r="Z91" s="1" t="s">
        <v>589</v>
      </c>
    </row>
    <row r="92" spans="1:26" ht="35" x14ac:dyDescent="0.2">
      <c r="A92" s="6">
        <v>91</v>
      </c>
      <c r="B92" s="6" t="s">
        <v>626</v>
      </c>
      <c r="C92" s="6" t="s">
        <v>613</v>
      </c>
      <c r="D92" s="14" t="s">
        <v>885</v>
      </c>
      <c r="E92" s="14" t="s">
        <v>1055</v>
      </c>
      <c r="F92" s="13">
        <v>420</v>
      </c>
      <c r="G92" s="1" t="s">
        <v>590</v>
      </c>
      <c r="H92" s="7" t="s">
        <v>1320</v>
      </c>
      <c r="I92" s="14" t="s">
        <v>671</v>
      </c>
      <c r="J92" s="8">
        <v>10609239</v>
      </c>
      <c r="K92" s="9">
        <v>1.2999999999999999E-3</v>
      </c>
      <c r="L92" s="10">
        <v>77240</v>
      </c>
      <c r="M92" s="12">
        <v>137</v>
      </c>
      <c r="N92" s="29">
        <v>343208000000</v>
      </c>
      <c r="O92">
        <v>31750</v>
      </c>
      <c r="P92" s="27">
        <v>3.2000000000000002E-3</v>
      </c>
      <c r="Q92" s="32">
        <v>345037</v>
      </c>
      <c r="R92" s="13">
        <v>1635000000</v>
      </c>
      <c r="S92" s="13">
        <v>425</v>
      </c>
      <c r="V92" s="7" t="s">
        <v>1320</v>
      </c>
      <c r="W92" s="6" t="s">
        <v>626</v>
      </c>
      <c r="X92" s="6" t="s">
        <v>613</v>
      </c>
      <c r="Y92" s="14" t="s">
        <v>1055</v>
      </c>
      <c r="Z92" s="1" t="s">
        <v>590</v>
      </c>
    </row>
    <row r="93" spans="1:26" ht="35" x14ac:dyDescent="0.2">
      <c r="A93" s="6">
        <v>92</v>
      </c>
      <c r="B93" s="6" t="s">
        <v>626</v>
      </c>
      <c r="C93" s="6" t="s">
        <v>616</v>
      </c>
      <c r="D93" s="14" t="s">
        <v>962</v>
      </c>
      <c r="E93" s="14" t="s">
        <v>1155</v>
      </c>
      <c r="F93" s="13">
        <v>351</v>
      </c>
      <c r="G93" s="1" t="s">
        <v>591</v>
      </c>
      <c r="H93" s="7" t="s">
        <v>95</v>
      </c>
      <c r="I93" s="14" t="s">
        <v>755</v>
      </c>
      <c r="J93" s="8">
        <v>10411834</v>
      </c>
      <c r="K93" s="9">
        <v>1.2999999999999999E-3</v>
      </c>
      <c r="L93" s="10">
        <v>91590</v>
      </c>
      <c r="M93" s="12">
        <v>114</v>
      </c>
      <c r="N93" s="29">
        <v>289114000000</v>
      </c>
      <c r="O93">
        <v>27718</v>
      </c>
      <c r="P93" s="27">
        <v>2.7000000000000001E-3</v>
      </c>
      <c r="Q93" s="32">
        <v>308683</v>
      </c>
      <c r="R93" s="13">
        <v>9151000000</v>
      </c>
      <c r="S93" s="13">
        <v>2377</v>
      </c>
      <c r="V93" s="7" t="s">
        <v>95</v>
      </c>
      <c r="W93" s="6" t="s">
        <v>626</v>
      </c>
      <c r="X93" s="6" t="s">
        <v>616</v>
      </c>
      <c r="Y93" s="14" t="s">
        <v>1155</v>
      </c>
      <c r="Z93" s="1" t="s">
        <v>591</v>
      </c>
    </row>
    <row r="94" spans="1:26" ht="35" x14ac:dyDescent="0.2">
      <c r="A94" s="6">
        <v>93</v>
      </c>
      <c r="B94" s="6" t="s">
        <v>624</v>
      </c>
      <c r="C94" s="6" t="s">
        <v>610</v>
      </c>
      <c r="D94" s="14" t="s">
        <v>967</v>
      </c>
      <c r="E94" s="14" t="s">
        <v>1019</v>
      </c>
      <c r="F94" s="13">
        <v>994</v>
      </c>
      <c r="G94" s="1" t="s">
        <v>592</v>
      </c>
      <c r="H94" s="7" t="s">
        <v>96</v>
      </c>
      <c r="I94" s="14" t="s">
        <v>640</v>
      </c>
      <c r="J94" s="8">
        <v>10397713</v>
      </c>
      <c r="K94" s="9">
        <v>1.2999999999999999E-3</v>
      </c>
      <c r="L94" s="10">
        <v>82658</v>
      </c>
      <c r="M94" s="12">
        <v>126</v>
      </c>
      <c r="N94" s="29">
        <v>72356176471</v>
      </c>
      <c r="O94">
        <v>7012</v>
      </c>
      <c r="P94" s="27">
        <v>6.8000000000000005E-4</v>
      </c>
      <c r="Q94" s="32">
        <v>74316</v>
      </c>
      <c r="R94" s="13">
        <v>12780000000</v>
      </c>
      <c r="S94" s="13">
        <v>3512</v>
      </c>
      <c r="V94" s="7" t="s">
        <v>96</v>
      </c>
      <c r="W94" s="6" t="s">
        <v>624</v>
      </c>
      <c r="X94" s="6" t="s">
        <v>610</v>
      </c>
      <c r="Y94" s="14" t="s">
        <v>1019</v>
      </c>
      <c r="Z94" s="1" t="s">
        <v>592</v>
      </c>
    </row>
    <row r="95" spans="1:26" ht="35" x14ac:dyDescent="0.2">
      <c r="A95" s="6">
        <v>94</v>
      </c>
      <c r="B95" s="6" t="s">
        <v>626</v>
      </c>
      <c r="C95" s="6" t="s">
        <v>616</v>
      </c>
      <c r="D95" s="14" t="s">
        <v>956</v>
      </c>
      <c r="E95" s="14" t="s">
        <v>1079</v>
      </c>
      <c r="F95" s="13">
        <v>30</v>
      </c>
      <c r="G95" s="1" t="s">
        <v>593</v>
      </c>
      <c r="H95" s="7" t="s">
        <v>97</v>
      </c>
      <c r="I95" s="14" t="s">
        <v>693</v>
      </c>
      <c r="J95" s="8">
        <v>9938844</v>
      </c>
      <c r="K95" s="9">
        <v>1.1999999999999999E-3</v>
      </c>
      <c r="L95" s="10">
        <v>128900</v>
      </c>
      <c r="M95" s="12">
        <v>77</v>
      </c>
      <c r="N95" s="29">
        <v>243498000000</v>
      </c>
      <c r="O95">
        <v>23772</v>
      </c>
      <c r="P95" s="27">
        <v>2.3E-3</v>
      </c>
      <c r="Q95" s="32">
        <v>257145</v>
      </c>
      <c r="R95" s="13">
        <v>9630000000</v>
      </c>
      <c r="S95" s="13">
        <v>2389</v>
      </c>
      <c r="V95" s="7" t="s">
        <v>97</v>
      </c>
      <c r="W95" s="6" t="s">
        <v>626</v>
      </c>
      <c r="X95" s="6" t="s">
        <v>616</v>
      </c>
      <c r="Y95" s="14" t="s">
        <v>1079</v>
      </c>
      <c r="Z95" s="1" t="s">
        <v>593</v>
      </c>
    </row>
    <row r="96" spans="1:26" ht="35" x14ac:dyDescent="0.2">
      <c r="A96" s="6">
        <v>95</v>
      </c>
      <c r="B96" s="6" t="s">
        <v>627</v>
      </c>
      <c r="C96" s="6" t="s">
        <v>602</v>
      </c>
      <c r="D96" s="14" t="s">
        <v>852</v>
      </c>
      <c r="E96" s="14" t="s">
        <v>1194</v>
      </c>
      <c r="F96" s="13">
        <v>228</v>
      </c>
      <c r="G96" s="1" t="s">
        <v>594</v>
      </c>
      <c r="H96" s="7" t="s">
        <v>98</v>
      </c>
      <c r="I96" s="14" t="s">
        <v>783</v>
      </c>
      <c r="J96" s="8">
        <v>9721608</v>
      </c>
      <c r="K96" s="9">
        <v>1.1999999999999999E-3</v>
      </c>
      <c r="L96" s="10">
        <v>54390</v>
      </c>
      <c r="M96" s="12">
        <v>179</v>
      </c>
      <c r="N96" s="29">
        <v>9171261838</v>
      </c>
      <c r="O96">
        <v>986</v>
      </c>
      <c r="P96" s="27">
        <v>8.6000000000000003E-5</v>
      </c>
      <c r="Q96" s="32">
        <v>9926</v>
      </c>
      <c r="R96" s="13">
        <v>169000000</v>
      </c>
      <c r="S96" s="13">
        <v>86</v>
      </c>
      <c r="V96" s="7" t="s">
        <v>98</v>
      </c>
      <c r="W96" s="6" t="s">
        <v>627</v>
      </c>
      <c r="X96" s="6" t="s">
        <v>602</v>
      </c>
      <c r="Y96" s="14" t="s">
        <v>1194</v>
      </c>
      <c r="Z96" s="1" t="s">
        <v>594</v>
      </c>
    </row>
    <row r="97" spans="1:26" ht="35" x14ac:dyDescent="0.2">
      <c r="A97" s="6">
        <v>96</v>
      </c>
      <c r="B97" s="6" t="s">
        <v>626</v>
      </c>
      <c r="C97" s="6" t="s">
        <v>613</v>
      </c>
      <c r="D97" s="14" t="s">
        <v>887</v>
      </c>
      <c r="E97" s="14" t="s">
        <v>1090</v>
      </c>
      <c r="F97" s="13">
        <v>36</v>
      </c>
      <c r="G97" s="1" t="s">
        <v>595</v>
      </c>
      <c r="H97" s="7" t="s">
        <v>99</v>
      </c>
      <c r="I97" s="14" t="s">
        <v>701</v>
      </c>
      <c r="J97" s="8">
        <v>9632287</v>
      </c>
      <c r="K97" s="9">
        <v>1.1999999999999999E-3</v>
      </c>
      <c r="L97" s="10">
        <v>90530</v>
      </c>
      <c r="M97" s="12">
        <v>106</v>
      </c>
      <c r="N97" s="29">
        <v>212389000000</v>
      </c>
      <c r="O97">
        <v>21926</v>
      </c>
      <c r="P97" s="27">
        <v>2E-3</v>
      </c>
      <c r="Q97" s="32">
        <v>222905</v>
      </c>
      <c r="R97" s="13">
        <v>5051000000</v>
      </c>
      <c r="S97" s="13">
        <v>1395</v>
      </c>
      <c r="V97" s="7" t="s">
        <v>99</v>
      </c>
      <c r="W97" s="6" t="s">
        <v>626</v>
      </c>
      <c r="X97" s="6" t="s">
        <v>613</v>
      </c>
      <c r="Y97" s="14" t="s">
        <v>1090</v>
      </c>
      <c r="Z97" s="1" t="s">
        <v>595</v>
      </c>
    </row>
    <row r="98" spans="1:26" ht="35" x14ac:dyDescent="0.2">
      <c r="A98" s="6">
        <v>97</v>
      </c>
      <c r="B98" s="6" t="s">
        <v>624</v>
      </c>
      <c r="C98" s="6" t="s">
        <v>610</v>
      </c>
      <c r="D98" s="14" t="s">
        <v>908</v>
      </c>
      <c r="E98" s="14" t="s">
        <v>1097</v>
      </c>
      <c r="F98" s="13">
        <v>972</v>
      </c>
      <c r="G98" s="1" t="s">
        <v>596</v>
      </c>
      <c r="H98" s="7" t="s">
        <v>100</v>
      </c>
      <c r="I98" s="14" t="s">
        <v>799</v>
      </c>
      <c r="J98" s="8">
        <v>9517181</v>
      </c>
      <c r="K98" s="9">
        <v>1.1999999999999999E-3</v>
      </c>
      <c r="L98" s="10">
        <v>21640</v>
      </c>
      <c r="M98" s="12">
        <v>440</v>
      </c>
      <c r="N98" s="29">
        <v>513611000000</v>
      </c>
      <c r="O98">
        <v>55488</v>
      </c>
      <c r="P98" s="27">
        <v>4.7999999999999996E-3</v>
      </c>
      <c r="Q98" s="32">
        <v>540380</v>
      </c>
      <c r="R98" s="13">
        <v>1954000000</v>
      </c>
      <c r="S98" s="13">
        <v>809</v>
      </c>
      <c r="V98" s="7" t="s">
        <v>100</v>
      </c>
      <c r="W98" s="6" t="s">
        <v>624</v>
      </c>
      <c r="X98" s="6" t="s">
        <v>610</v>
      </c>
      <c r="Y98" s="14" t="s">
        <v>1097</v>
      </c>
      <c r="Z98" s="1" t="s">
        <v>596</v>
      </c>
    </row>
    <row r="99" spans="1:26" ht="35" x14ac:dyDescent="0.2">
      <c r="A99" s="6">
        <v>98</v>
      </c>
      <c r="B99" s="6" t="s">
        <v>626</v>
      </c>
      <c r="C99" s="6" t="s">
        <v>614</v>
      </c>
      <c r="D99" s="14" t="s">
        <v>950</v>
      </c>
      <c r="E99" s="14" t="s">
        <v>1018</v>
      </c>
      <c r="F99" s="13">
        <v>43</v>
      </c>
      <c r="G99" s="1" t="s">
        <v>557</v>
      </c>
      <c r="H99" s="7" t="s">
        <v>101</v>
      </c>
      <c r="I99" s="14" t="s">
        <v>639</v>
      </c>
      <c r="J99" s="8">
        <v>9113574</v>
      </c>
      <c r="K99" s="9">
        <v>1.1000000000000001E-3</v>
      </c>
      <c r="L99" s="10">
        <v>82409</v>
      </c>
      <c r="M99" s="12">
        <v>111</v>
      </c>
      <c r="N99" s="29">
        <v>511685000000</v>
      </c>
      <c r="O99">
        <v>56042</v>
      </c>
      <c r="P99" s="27">
        <v>4.7999999999999996E-3</v>
      </c>
      <c r="Q99" s="32">
        <v>521642</v>
      </c>
      <c r="R99" s="13">
        <v>3492000000</v>
      </c>
      <c r="S99" s="13">
        <v>1144</v>
      </c>
      <c r="V99" s="7" t="s">
        <v>101</v>
      </c>
      <c r="W99" s="6" t="s">
        <v>626</v>
      </c>
      <c r="X99" s="6" t="s">
        <v>614</v>
      </c>
      <c r="Y99" s="14" t="s">
        <v>1018</v>
      </c>
      <c r="Z99" s="1" t="s">
        <v>557</v>
      </c>
    </row>
    <row r="100" spans="1:26" ht="35" x14ac:dyDescent="0.2">
      <c r="A100" s="6">
        <v>99</v>
      </c>
      <c r="B100" s="6" t="s">
        <v>626</v>
      </c>
      <c r="C100" s="6" t="s">
        <v>613</v>
      </c>
      <c r="D100" s="14" t="s">
        <v>968</v>
      </c>
      <c r="E100" s="14" t="s">
        <v>1026</v>
      </c>
      <c r="F100" s="13">
        <v>375</v>
      </c>
      <c r="G100" s="1" t="s">
        <v>598</v>
      </c>
      <c r="H100" s="7" t="s">
        <v>102</v>
      </c>
      <c r="I100" s="14" t="s">
        <v>645</v>
      </c>
      <c r="J100" s="8">
        <v>8997603</v>
      </c>
      <c r="K100" s="9">
        <v>1.1000000000000001E-3</v>
      </c>
      <c r="L100" s="10">
        <v>202910</v>
      </c>
      <c r="M100" s="12">
        <v>44</v>
      </c>
      <c r="N100" s="29">
        <v>71857382746</v>
      </c>
      <c r="O100">
        <v>7883</v>
      </c>
      <c r="P100" s="27">
        <v>6.8000000000000005E-4</v>
      </c>
      <c r="Q100" s="32">
        <v>75962</v>
      </c>
      <c r="R100" s="13">
        <v>1452000000</v>
      </c>
      <c r="S100" s="13">
        <v>419</v>
      </c>
      <c r="V100" s="7" t="s">
        <v>102</v>
      </c>
      <c r="W100" s="6" t="s">
        <v>626</v>
      </c>
      <c r="X100" s="6" t="s">
        <v>613</v>
      </c>
      <c r="Y100" s="14" t="s">
        <v>1026</v>
      </c>
      <c r="Z100" s="1" t="s">
        <v>598</v>
      </c>
    </row>
    <row r="101" spans="1:26" ht="35" x14ac:dyDescent="0.2">
      <c r="A101" s="6">
        <v>100</v>
      </c>
      <c r="B101" s="6" t="s">
        <v>626</v>
      </c>
      <c r="C101" s="6" t="s">
        <v>614</v>
      </c>
      <c r="D101" s="14" t="s">
        <v>988</v>
      </c>
      <c r="E101" s="14" t="s">
        <v>1188</v>
      </c>
      <c r="F101" s="13">
        <v>41</v>
      </c>
      <c r="G101" s="1" t="s">
        <v>599</v>
      </c>
      <c r="H101" s="7" t="s">
        <v>103</v>
      </c>
      <c r="I101" s="14" t="s">
        <v>779</v>
      </c>
      <c r="J101" s="8">
        <v>8967407</v>
      </c>
      <c r="K101" s="9">
        <v>1.1000000000000001E-3</v>
      </c>
      <c r="L101" s="10">
        <v>39516</v>
      </c>
      <c r="M101" s="12">
        <v>227</v>
      </c>
      <c r="N101" s="29">
        <v>884940000000</v>
      </c>
      <c r="O101">
        <v>99761</v>
      </c>
      <c r="P101" s="27">
        <v>8.3000000000000001E-3</v>
      </c>
      <c r="Q101" s="32">
        <v>936564</v>
      </c>
      <c r="R101" s="13">
        <v>2005000000</v>
      </c>
      <c r="S101" s="13">
        <v>687</v>
      </c>
      <c r="V101" s="7" t="s">
        <v>103</v>
      </c>
      <c r="W101" s="6" t="s">
        <v>626</v>
      </c>
      <c r="X101" s="6" t="s">
        <v>614</v>
      </c>
      <c r="Y101" s="14" t="s">
        <v>1188</v>
      </c>
      <c r="Z101" s="1" t="s">
        <v>599</v>
      </c>
    </row>
    <row r="102" spans="1:26" ht="35" x14ac:dyDescent="0.2">
      <c r="A102" s="6">
        <v>101</v>
      </c>
      <c r="B102" s="6" t="s">
        <v>627</v>
      </c>
      <c r="C102" s="6" t="s">
        <v>602</v>
      </c>
      <c r="D102" s="14" t="s">
        <v>851</v>
      </c>
      <c r="E102" s="14" t="s">
        <v>1171</v>
      </c>
      <c r="F102" s="13">
        <v>232</v>
      </c>
      <c r="G102" s="1" t="s">
        <v>600</v>
      </c>
      <c r="H102" s="7" t="s">
        <v>104</v>
      </c>
      <c r="I102" s="14" t="s">
        <v>768</v>
      </c>
      <c r="J102" s="8">
        <v>8819794</v>
      </c>
      <c r="K102" s="9">
        <v>1.1000000000000001E-3</v>
      </c>
      <c r="L102" s="10">
        <v>72180</v>
      </c>
      <c r="M102" s="12">
        <v>122</v>
      </c>
      <c r="N102" s="29">
        <v>6411869546</v>
      </c>
      <c r="O102">
        <v>758</v>
      </c>
      <c r="P102" s="27">
        <v>6.0000000000000002E-5</v>
      </c>
      <c r="Q102" s="32">
        <v>7548</v>
      </c>
      <c r="R102" s="13">
        <v>212200000</v>
      </c>
      <c r="S102" s="13">
        <v>106</v>
      </c>
      <c r="V102" s="7" t="s">
        <v>104</v>
      </c>
      <c r="W102" s="6" t="s">
        <v>627</v>
      </c>
      <c r="X102" s="6" t="s">
        <v>602</v>
      </c>
      <c r="Y102" s="14" t="s">
        <v>1171</v>
      </c>
      <c r="Z102" s="1" t="s">
        <v>600</v>
      </c>
    </row>
    <row r="103" spans="1:26" ht="35" x14ac:dyDescent="0.2">
      <c r="A103" s="6">
        <v>102</v>
      </c>
      <c r="B103" s="6" t="s">
        <v>624</v>
      </c>
      <c r="C103" s="6" t="s">
        <v>609</v>
      </c>
      <c r="D103" s="14" t="s">
        <v>910</v>
      </c>
      <c r="E103" s="14" t="s">
        <v>1108</v>
      </c>
      <c r="F103" s="13">
        <v>856</v>
      </c>
      <c r="G103" s="1" t="s">
        <v>601</v>
      </c>
      <c r="H103" s="7" t="s">
        <v>105</v>
      </c>
      <c r="I103" s="14" t="s">
        <v>715</v>
      </c>
      <c r="J103" s="8">
        <v>7873046</v>
      </c>
      <c r="K103" s="9">
        <v>9.6000000000000002E-4</v>
      </c>
      <c r="L103" s="10">
        <v>230800</v>
      </c>
      <c r="M103" s="12">
        <v>34</v>
      </c>
      <c r="N103" s="29">
        <v>15843155731</v>
      </c>
      <c r="O103">
        <v>2067</v>
      </c>
      <c r="P103" s="27">
        <v>1.4999999999999999E-4</v>
      </c>
      <c r="Q103" s="32">
        <v>16503</v>
      </c>
      <c r="R103" s="13">
        <v>3493000000</v>
      </c>
      <c r="S103" s="13">
        <v>1630</v>
      </c>
      <c r="V103" s="7" t="s">
        <v>105</v>
      </c>
      <c r="W103" s="6" t="s">
        <v>624</v>
      </c>
      <c r="X103" s="6" t="s">
        <v>609</v>
      </c>
      <c r="Y103" s="14" t="s">
        <v>1108</v>
      </c>
      <c r="Z103" s="1" t="s">
        <v>601</v>
      </c>
    </row>
    <row r="104" spans="1:26" ht="35" x14ac:dyDescent="0.2">
      <c r="A104" s="6">
        <v>103</v>
      </c>
      <c r="B104" s="6" t="s">
        <v>624</v>
      </c>
      <c r="C104" s="6" t="s">
        <v>611</v>
      </c>
      <c r="D104" s="14" t="s">
        <v>928</v>
      </c>
      <c r="E104" s="14" t="s">
        <v>1200</v>
      </c>
      <c r="F104" s="13">
        <v>993</v>
      </c>
      <c r="G104" s="1" t="s">
        <v>1231</v>
      </c>
      <c r="H104" s="7" t="s">
        <v>106</v>
      </c>
      <c r="I104" s="14" t="s">
        <v>788</v>
      </c>
      <c r="J104" s="8">
        <v>7618847</v>
      </c>
      <c r="K104" s="9">
        <v>9.3000000000000005E-4</v>
      </c>
      <c r="L104" s="10">
        <v>469930</v>
      </c>
      <c r="M104" s="12">
        <v>16</v>
      </c>
      <c r="N104" s="29">
        <v>60628857143</v>
      </c>
      <c r="O104">
        <v>8233</v>
      </c>
      <c r="P104" s="27">
        <v>5.6999999999999998E-4</v>
      </c>
      <c r="Q104" s="32">
        <v>64240</v>
      </c>
      <c r="R104" s="13">
        <v>27950000000</v>
      </c>
      <c r="S104" s="13">
        <v>15445</v>
      </c>
      <c r="V104" s="7" t="s">
        <v>106</v>
      </c>
      <c r="W104" s="6" t="s">
        <v>624</v>
      </c>
      <c r="X104" s="6" t="s">
        <v>611</v>
      </c>
      <c r="Y104" s="14" t="s">
        <v>1200</v>
      </c>
      <c r="Z104" s="1" t="s">
        <v>1231</v>
      </c>
    </row>
    <row r="105" spans="1:26" ht="35" x14ac:dyDescent="0.2">
      <c r="A105" s="6">
        <v>104</v>
      </c>
      <c r="B105" s="6" t="s">
        <v>627</v>
      </c>
      <c r="C105" s="6" t="s">
        <v>604</v>
      </c>
      <c r="D105" s="14" t="s">
        <v>861</v>
      </c>
      <c r="E105" s="14" t="s">
        <v>1113</v>
      </c>
      <c r="F105" s="13">
        <v>218</v>
      </c>
      <c r="G105" s="1" t="s">
        <v>1232</v>
      </c>
      <c r="H105" s="7" t="s">
        <v>107</v>
      </c>
      <c r="I105" s="14" t="s">
        <v>720</v>
      </c>
      <c r="J105" s="8">
        <v>7458555</v>
      </c>
      <c r="K105" s="9">
        <v>9.1E-4</v>
      </c>
      <c r="L105" s="10">
        <v>1759540</v>
      </c>
      <c r="M105" s="12">
        <v>4</v>
      </c>
      <c r="N105" s="29">
        <v>45096462972</v>
      </c>
      <c r="O105">
        <v>6173</v>
      </c>
      <c r="P105" s="27">
        <v>4.2000000000000002E-4</v>
      </c>
      <c r="Q105" s="32">
        <v>46636</v>
      </c>
      <c r="R105" s="13">
        <v>5830000000</v>
      </c>
      <c r="S105" s="13">
        <v>2585</v>
      </c>
      <c r="V105" s="7" t="s">
        <v>107</v>
      </c>
      <c r="W105" s="6" t="s">
        <v>627</v>
      </c>
      <c r="X105" s="6" t="s">
        <v>604</v>
      </c>
      <c r="Y105" s="14" t="s">
        <v>1113</v>
      </c>
      <c r="Z105" s="1" t="s">
        <v>1232</v>
      </c>
    </row>
    <row r="106" spans="1:26" ht="35" x14ac:dyDescent="0.2">
      <c r="A106" s="6">
        <v>105</v>
      </c>
      <c r="B106" s="6" t="s">
        <v>624</v>
      </c>
      <c r="C106" s="6" t="s">
        <v>611</v>
      </c>
      <c r="D106" s="14" t="s">
        <v>976</v>
      </c>
      <c r="E106" s="14" t="s">
        <v>1107</v>
      </c>
      <c r="F106" s="13">
        <v>996</v>
      </c>
      <c r="G106" s="1" t="s">
        <v>1233</v>
      </c>
      <c r="H106" s="7" t="s">
        <v>108</v>
      </c>
      <c r="I106" s="14" t="s">
        <v>714</v>
      </c>
      <c r="J106" s="8">
        <v>7295034</v>
      </c>
      <c r="K106" s="9">
        <v>8.8999999999999995E-4</v>
      </c>
      <c r="L106" s="10">
        <v>191800</v>
      </c>
      <c r="M106" s="12">
        <v>38</v>
      </c>
      <c r="N106" s="29">
        <v>13987627909</v>
      </c>
      <c r="O106">
        <v>1977</v>
      </c>
      <c r="P106" s="27">
        <v>1.2999999999999999E-4</v>
      </c>
      <c r="Q106" s="32">
        <v>17478</v>
      </c>
      <c r="R106" s="13">
        <v>8007000000</v>
      </c>
      <c r="S106" s="13">
        <v>4153</v>
      </c>
      <c r="V106" s="7" t="s">
        <v>108</v>
      </c>
      <c r="W106" s="6" t="s">
        <v>624</v>
      </c>
      <c r="X106" s="6" t="s">
        <v>611</v>
      </c>
      <c r="Y106" s="14" t="s">
        <v>1107</v>
      </c>
      <c r="Z106" s="1" t="s">
        <v>1233</v>
      </c>
    </row>
    <row r="107" spans="1:26" ht="35" x14ac:dyDescent="0.2">
      <c r="A107" s="6">
        <v>106</v>
      </c>
      <c r="B107" s="6" t="s">
        <v>625</v>
      </c>
      <c r="C107" s="6" t="s">
        <v>617</v>
      </c>
      <c r="D107" s="14" t="s">
        <v>920</v>
      </c>
      <c r="E107" s="14" t="s">
        <v>1151</v>
      </c>
      <c r="F107" s="13">
        <v>595</v>
      </c>
      <c r="G107" s="1" t="s">
        <v>1234</v>
      </c>
      <c r="H107" s="7" t="s">
        <v>109</v>
      </c>
      <c r="I107" s="14" t="s">
        <v>751</v>
      </c>
      <c r="J107" s="8">
        <v>7013078</v>
      </c>
      <c r="K107" s="9">
        <v>8.4999999999999995E-4</v>
      </c>
      <c r="L107" s="10">
        <v>397300</v>
      </c>
      <c r="M107" s="12">
        <v>18</v>
      </c>
      <c r="N107" s="29">
        <v>42956263544</v>
      </c>
      <c r="O107">
        <v>6276</v>
      </c>
      <c r="P107" s="27">
        <v>4.0000000000000002E-4</v>
      </c>
      <c r="Q107" s="32">
        <v>44458</v>
      </c>
      <c r="R107" s="13">
        <v>2413000000</v>
      </c>
      <c r="S107" s="13">
        <v>1121</v>
      </c>
      <c r="V107" s="7" t="s">
        <v>109</v>
      </c>
      <c r="W107" s="6" t="s">
        <v>625</v>
      </c>
      <c r="X107" s="6" t="s">
        <v>617</v>
      </c>
      <c r="Y107" s="14" t="s">
        <v>1151</v>
      </c>
      <c r="Z107" s="1" t="s">
        <v>1234</v>
      </c>
    </row>
    <row r="108" spans="1:26" ht="35" x14ac:dyDescent="0.2">
      <c r="A108" s="6">
        <v>107</v>
      </c>
      <c r="B108" s="6" t="s">
        <v>625</v>
      </c>
      <c r="C108" s="6" t="s">
        <v>618</v>
      </c>
      <c r="D108" s="14" t="s">
        <v>916</v>
      </c>
      <c r="E108" s="14" t="s">
        <v>1140</v>
      </c>
      <c r="F108" s="13">
        <v>505</v>
      </c>
      <c r="G108" s="1" t="s">
        <v>1235</v>
      </c>
      <c r="H108" s="7" t="s">
        <v>110</v>
      </c>
      <c r="I108" s="14" t="s">
        <v>741</v>
      </c>
      <c r="J108" s="8">
        <v>7007502</v>
      </c>
      <c r="K108" s="9">
        <v>8.4999999999999995E-4</v>
      </c>
      <c r="L108" s="10">
        <v>120340</v>
      </c>
      <c r="M108" s="12">
        <v>58</v>
      </c>
      <c r="N108" s="29">
        <v>17829218219</v>
      </c>
      <c r="O108">
        <v>2613</v>
      </c>
      <c r="P108" s="27">
        <v>1.7000000000000001E-4</v>
      </c>
      <c r="Q108" s="32">
        <v>19694</v>
      </c>
      <c r="R108" s="13">
        <v>1545000000</v>
      </c>
      <c r="S108" s="13">
        <v>727</v>
      </c>
      <c r="V108" s="7" t="s">
        <v>110</v>
      </c>
      <c r="W108" s="6" t="s">
        <v>625</v>
      </c>
      <c r="X108" s="6" t="s">
        <v>618</v>
      </c>
      <c r="Y108" s="14" t="s">
        <v>1140</v>
      </c>
      <c r="Z108" s="1" t="s">
        <v>1235</v>
      </c>
    </row>
    <row r="109" spans="1:26" ht="35" x14ac:dyDescent="0.2">
      <c r="A109" s="6">
        <v>108</v>
      </c>
      <c r="B109" s="6" t="s">
        <v>626</v>
      </c>
      <c r="C109" s="6" t="s">
        <v>613</v>
      </c>
      <c r="D109" s="14" t="s">
        <v>883</v>
      </c>
      <c r="E109" s="14" t="s">
        <v>1036</v>
      </c>
      <c r="F109" s="13">
        <v>359</v>
      </c>
      <c r="G109" s="1" t="s">
        <v>1236</v>
      </c>
      <c r="H109" s="7" t="s">
        <v>111</v>
      </c>
      <c r="I109" s="14" t="s">
        <v>653</v>
      </c>
      <c r="J109" s="8">
        <v>6714560</v>
      </c>
      <c r="K109" s="9">
        <v>8.1999999999999998E-4</v>
      </c>
      <c r="L109" s="10">
        <v>108560</v>
      </c>
      <c r="M109" s="12">
        <v>62</v>
      </c>
      <c r="N109" s="29">
        <v>102408000000</v>
      </c>
      <c r="O109">
        <v>15069</v>
      </c>
      <c r="P109" s="27">
        <v>9.6000000000000002E-4</v>
      </c>
      <c r="Q109" s="32">
        <v>112212</v>
      </c>
      <c r="R109" s="13">
        <v>5629000000</v>
      </c>
      <c r="S109" s="13">
        <v>2149</v>
      </c>
      <c r="V109" s="7" t="s">
        <v>111</v>
      </c>
      <c r="W109" s="6" t="s">
        <v>626</v>
      </c>
      <c r="X109" s="6" t="s">
        <v>613</v>
      </c>
      <c r="Y109" s="14" t="s">
        <v>1036</v>
      </c>
      <c r="Z109" s="1" t="s">
        <v>1236</v>
      </c>
    </row>
    <row r="110" spans="1:26" ht="35" x14ac:dyDescent="0.2">
      <c r="A110" s="6">
        <v>109</v>
      </c>
      <c r="B110" s="6" t="s">
        <v>626</v>
      </c>
      <c r="C110" s="6" t="s">
        <v>616</v>
      </c>
      <c r="D110" s="14" t="s">
        <v>986</v>
      </c>
      <c r="E110" s="14" t="s">
        <v>1169</v>
      </c>
      <c r="F110" s="13">
        <v>381</v>
      </c>
      <c r="G110" s="1" t="s">
        <v>1237</v>
      </c>
      <c r="H110" s="7" t="s">
        <v>112</v>
      </c>
      <c r="I110" s="14" t="s">
        <v>766</v>
      </c>
      <c r="J110" s="8">
        <v>6689039</v>
      </c>
      <c r="K110" s="9">
        <v>8.0999999999999996E-4</v>
      </c>
      <c r="L110" s="10">
        <v>87460</v>
      </c>
      <c r="M110" s="12">
        <v>76</v>
      </c>
      <c r="N110" s="29">
        <v>81342660752</v>
      </c>
      <c r="O110">
        <v>12009</v>
      </c>
      <c r="P110" s="27">
        <v>7.6999999999999996E-4</v>
      </c>
      <c r="Q110" s="32">
        <v>89084</v>
      </c>
      <c r="R110" s="13">
        <v>4707000000</v>
      </c>
      <c r="S110" s="13">
        <v>1810</v>
      </c>
      <c r="V110" s="7" t="s">
        <v>112</v>
      </c>
      <c r="W110" s="6" t="s">
        <v>626</v>
      </c>
      <c r="X110" s="6" t="s">
        <v>616</v>
      </c>
      <c r="Y110" s="14" t="s">
        <v>1169</v>
      </c>
      <c r="Z110" s="1" t="s">
        <v>1237</v>
      </c>
    </row>
    <row r="111" spans="1:26" ht="35" x14ac:dyDescent="0.2">
      <c r="A111" s="6">
        <v>110</v>
      </c>
      <c r="B111" s="6" t="s">
        <v>627</v>
      </c>
      <c r="C111" s="6" t="s">
        <v>605</v>
      </c>
      <c r="D111" s="14" t="s">
        <v>837</v>
      </c>
      <c r="E111" s="14" t="s">
        <v>1049</v>
      </c>
      <c r="F111" s="13">
        <v>242</v>
      </c>
      <c r="G111" s="1" t="s">
        <v>1238</v>
      </c>
      <c r="H111" s="7" t="s">
        <v>113</v>
      </c>
      <c r="I111" s="14" t="s">
        <v>666</v>
      </c>
      <c r="J111" s="8">
        <v>6484437</v>
      </c>
      <c r="K111" s="9">
        <v>7.9000000000000001E-4</v>
      </c>
      <c r="L111" s="10">
        <v>341500</v>
      </c>
      <c r="M111" s="12">
        <v>19</v>
      </c>
      <c r="N111" s="29">
        <v>15321055823</v>
      </c>
      <c r="O111">
        <v>2478</v>
      </c>
      <c r="P111" s="27">
        <v>1.3999999999999999E-4</v>
      </c>
      <c r="Q111" s="32">
        <v>15720</v>
      </c>
      <c r="R111" s="13">
        <v>46000000</v>
      </c>
      <c r="S111" s="13">
        <v>38</v>
      </c>
      <c r="V111" s="7" t="s">
        <v>113</v>
      </c>
      <c r="W111" s="6" t="s">
        <v>627</v>
      </c>
      <c r="X111" s="6" t="s">
        <v>605</v>
      </c>
      <c r="Y111" s="14" t="s">
        <v>1049</v>
      </c>
      <c r="Z111" s="1" t="s">
        <v>1238</v>
      </c>
    </row>
    <row r="112" spans="1:26" ht="35" x14ac:dyDescent="0.2">
      <c r="A112" s="6">
        <v>111</v>
      </c>
      <c r="B112" s="6" t="s">
        <v>625</v>
      </c>
      <c r="C112" s="6" t="s">
        <v>618</v>
      </c>
      <c r="D112" s="14" t="s">
        <v>901</v>
      </c>
      <c r="E112" s="14" t="s">
        <v>1065</v>
      </c>
      <c r="F112" s="13">
        <v>503</v>
      </c>
      <c r="G112" s="1" t="s">
        <v>1239</v>
      </c>
      <c r="H112" s="7" t="s">
        <v>114</v>
      </c>
      <c r="I112" s="14" t="s">
        <v>678</v>
      </c>
      <c r="J112" s="8">
        <v>6365503</v>
      </c>
      <c r="K112" s="9">
        <v>7.6999999999999996E-4</v>
      </c>
      <c r="L112" s="10">
        <v>20720</v>
      </c>
      <c r="M112" s="12">
        <v>307</v>
      </c>
      <c r="N112" s="29">
        <v>34015620000</v>
      </c>
      <c r="O112">
        <v>5391</v>
      </c>
      <c r="P112" s="27">
        <v>3.2000000000000003E-4</v>
      </c>
      <c r="Q112" s="32">
        <v>35365</v>
      </c>
      <c r="R112" s="13">
        <v>2118000000</v>
      </c>
      <c r="S112" s="13">
        <v>966</v>
      </c>
      <c r="V112" s="7" t="s">
        <v>114</v>
      </c>
      <c r="W112" s="6" t="s">
        <v>625</v>
      </c>
      <c r="X112" s="6" t="s">
        <v>618</v>
      </c>
      <c r="Y112" s="14" t="s">
        <v>1065</v>
      </c>
      <c r="Z112" s="1" t="s">
        <v>1239</v>
      </c>
    </row>
    <row r="113" spans="1:26" ht="35" x14ac:dyDescent="0.2">
      <c r="A113" s="6">
        <v>112</v>
      </c>
      <c r="B113" s="6" t="s">
        <v>626</v>
      </c>
      <c r="C113" s="6" t="s">
        <v>615</v>
      </c>
      <c r="D113" s="14" t="s">
        <v>970</v>
      </c>
      <c r="E113" s="14" t="s">
        <v>1056</v>
      </c>
      <c r="F113" s="13">
        <v>45</v>
      </c>
      <c r="G113" s="1" t="s">
        <v>1240</v>
      </c>
      <c r="H113" s="7" t="s">
        <v>115</v>
      </c>
      <c r="I113" s="14" t="s">
        <v>672</v>
      </c>
      <c r="J113" s="8">
        <v>6002507</v>
      </c>
      <c r="K113" s="9">
        <v>7.2999999999999996E-4</v>
      </c>
      <c r="L113" s="10">
        <v>42430</v>
      </c>
      <c r="M113" s="12">
        <v>141</v>
      </c>
      <c r="N113" s="29">
        <v>407092000000</v>
      </c>
      <c r="O113">
        <v>68440</v>
      </c>
      <c r="P113" s="27">
        <v>3.8E-3</v>
      </c>
      <c r="Q113" s="32">
        <v>429457</v>
      </c>
      <c r="R113" s="13">
        <v>652000000</v>
      </c>
      <c r="S113" s="13">
        <v>319</v>
      </c>
      <c r="V113" s="7" t="s">
        <v>115</v>
      </c>
      <c r="W113" s="6" t="s">
        <v>626</v>
      </c>
      <c r="X113" s="6" t="s">
        <v>615</v>
      </c>
      <c r="Y113" s="14" t="s">
        <v>1056</v>
      </c>
      <c r="Z113" s="1" t="s">
        <v>1240</v>
      </c>
    </row>
    <row r="114" spans="1:26" ht="35" x14ac:dyDescent="0.2">
      <c r="A114" s="6">
        <v>113</v>
      </c>
      <c r="B114" s="6" t="s">
        <v>624</v>
      </c>
      <c r="C114" s="6" t="s">
        <v>609</v>
      </c>
      <c r="D114" s="14" t="s">
        <v>945</v>
      </c>
      <c r="E114" s="14" t="s">
        <v>1172</v>
      </c>
      <c r="F114" s="13">
        <v>65</v>
      </c>
      <c r="G114" s="1" t="s">
        <v>1241</v>
      </c>
      <c r="H114" s="7" t="s">
        <v>116</v>
      </c>
      <c r="I114" s="14" t="s">
        <v>116</v>
      </c>
      <c r="J114" s="8">
        <v>5870750</v>
      </c>
      <c r="K114" s="9">
        <v>7.1000000000000002E-4</v>
      </c>
      <c r="L114" s="6">
        <v>700</v>
      </c>
      <c r="M114" s="12">
        <v>8387</v>
      </c>
      <c r="N114" s="29">
        <v>501428000000</v>
      </c>
      <c r="O114">
        <v>86616</v>
      </c>
      <c r="P114" s="27">
        <v>4.7000000000000002E-3</v>
      </c>
      <c r="Q114" s="32">
        <v>547387</v>
      </c>
      <c r="R114" s="13">
        <v>190000000</v>
      </c>
      <c r="S114" s="13">
        <v>229</v>
      </c>
      <c r="V114" s="7" t="s">
        <v>116</v>
      </c>
      <c r="W114" s="6" t="s">
        <v>624</v>
      </c>
      <c r="X114" s="6" t="s">
        <v>609</v>
      </c>
      <c r="Y114" s="14" t="s">
        <v>1172</v>
      </c>
      <c r="Z114" s="1" t="s">
        <v>1241</v>
      </c>
    </row>
    <row r="115" spans="1:26" ht="35" x14ac:dyDescent="0.2">
      <c r="A115" s="6">
        <v>114</v>
      </c>
      <c r="B115" s="6" t="s">
        <v>624</v>
      </c>
      <c r="C115" s="6" t="s">
        <v>610</v>
      </c>
      <c r="D115" s="14" t="s">
        <v>860</v>
      </c>
      <c r="E115" s="14" t="s">
        <v>1110</v>
      </c>
      <c r="F115" s="13">
        <v>961</v>
      </c>
      <c r="G115" s="1" t="s">
        <v>1242</v>
      </c>
      <c r="H115" s="7" t="s">
        <v>117</v>
      </c>
      <c r="I115" s="14" t="s">
        <v>717</v>
      </c>
      <c r="J115" s="8">
        <v>5849421</v>
      </c>
      <c r="K115" s="9">
        <v>7.1000000000000002E-4</v>
      </c>
      <c r="L115" s="10">
        <v>10230</v>
      </c>
      <c r="M115" s="12">
        <v>572</v>
      </c>
      <c r="N115" s="29" t="e">
        <v>#N/A</v>
      </c>
      <c r="O115" t="e">
        <v>#N/A</v>
      </c>
      <c r="P115" s="27" t="e">
        <v>#N/A</v>
      </c>
      <c r="Q115" s="32">
        <v>2023</v>
      </c>
      <c r="R115" s="13">
        <v>1840000000</v>
      </c>
      <c r="S115" s="13">
        <v>779</v>
      </c>
      <c r="V115" s="7" t="s">
        <v>117</v>
      </c>
      <c r="W115" s="6" t="s">
        <v>624</v>
      </c>
      <c r="X115" s="6" t="s">
        <v>610</v>
      </c>
      <c r="Y115" s="14" t="s">
        <v>1110</v>
      </c>
      <c r="Z115" s="1" t="s">
        <v>1242</v>
      </c>
    </row>
    <row r="116" spans="1:26" ht="35" x14ac:dyDescent="0.2">
      <c r="A116" s="6">
        <v>115</v>
      </c>
      <c r="B116" s="6" t="s">
        <v>627</v>
      </c>
      <c r="C116" s="6" t="s">
        <v>602</v>
      </c>
      <c r="D116" s="14" t="s">
        <v>845</v>
      </c>
      <c r="E116" s="14" t="s">
        <v>1112</v>
      </c>
      <c r="F116" s="13">
        <v>231</v>
      </c>
      <c r="G116" s="1" t="s">
        <v>1243</v>
      </c>
      <c r="H116" s="7" t="s">
        <v>118</v>
      </c>
      <c r="I116" s="14" t="s">
        <v>719</v>
      </c>
      <c r="J116" s="8">
        <v>5731206</v>
      </c>
      <c r="K116" s="9">
        <v>6.9999999999999999E-4</v>
      </c>
      <c r="L116" s="10">
        <v>96320</v>
      </c>
      <c r="M116" s="12">
        <v>60</v>
      </c>
      <c r="N116" s="29">
        <v>4240000000</v>
      </c>
      <c r="O116">
        <v>772</v>
      </c>
      <c r="P116" s="27">
        <v>4.0000000000000003E-5</v>
      </c>
      <c r="Q116" s="32">
        <v>4750</v>
      </c>
      <c r="R116" s="13">
        <v>130800000</v>
      </c>
      <c r="S116" s="13">
        <v>122</v>
      </c>
      <c r="V116" s="7" t="s">
        <v>118</v>
      </c>
      <c r="W116" s="6" t="s">
        <v>627</v>
      </c>
      <c r="X116" s="6" t="s">
        <v>602</v>
      </c>
      <c r="Y116" s="14" t="s">
        <v>1112</v>
      </c>
      <c r="Z116" s="1" t="s">
        <v>1243</v>
      </c>
    </row>
    <row r="117" spans="1:26" ht="35" x14ac:dyDescent="0.2">
      <c r="A117" s="6">
        <v>116</v>
      </c>
      <c r="B117" s="6" t="s">
        <v>626</v>
      </c>
      <c r="C117" s="6" t="s">
        <v>615</v>
      </c>
      <c r="D117" s="14" t="s">
        <v>953</v>
      </c>
      <c r="E117" s="14" t="s">
        <v>1072</v>
      </c>
      <c r="F117" s="13">
        <v>358</v>
      </c>
      <c r="G117" s="1" t="s">
        <v>1244</v>
      </c>
      <c r="H117" s="7" t="s">
        <v>119</v>
      </c>
      <c r="I117" s="14" t="s">
        <v>686</v>
      </c>
      <c r="J117" s="8">
        <v>5623329</v>
      </c>
      <c r="K117" s="9">
        <v>6.8000000000000005E-4</v>
      </c>
      <c r="L117" s="10">
        <v>303890</v>
      </c>
      <c r="M117" s="12">
        <v>19</v>
      </c>
      <c r="N117" s="29">
        <v>295532000000</v>
      </c>
      <c r="O117">
        <v>52762</v>
      </c>
      <c r="P117" s="27">
        <v>2.8E-3</v>
      </c>
      <c r="Q117" s="32">
        <v>299836</v>
      </c>
      <c r="R117" s="13">
        <v>6562000000</v>
      </c>
      <c r="S117" s="13">
        <v>3414</v>
      </c>
      <c r="V117" s="7" t="s">
        <v>119</v>
      </c>
      <c r="W117" s="6" t="s">
        <v>626</v>
      </c>
      <c r="X117" s="6" t="s">
        <v>615</v>
      </c>
      <c r="Y117" s="14" t="s">
        <v>1072</v>
      </c>
      <c r="Z117" s="1" t="s">
        <v>1244</v>
      </c>
    </row>
    <row r="118" spans="1:26" ht="35" x14ac:dyDescent="0.2">
      <c r="A118" s="6">
        <v>117</v>
      </c>
      <c r="B118" s="6" t="s">
        <v>626</v>
      </c>
      <c r="C118" s="6" t="s">
        <v>615</v>
      </c>
      <c r="D118" s="14" t="s">
        <v>982</v>
      </c>
      <c r="E118" s="14" t="s">
        <v>1145</v>
      </c>
      <c r="F118" s="13">
        <v>47</v>
      </c>
      <c r="G118" s="1" t="s">
        <v>1245</v>
      </c>
      <c r="H118" s="7" t="s">
        <v>120</v>
      </c>
      <c r="I118" s="14" t="s">
        <v>746</v>
      </c>
      <c r="J118" s="8">
        <v>5623071</v>
      </c>
      <c r="K118" s="9">
        <v>6.8000000000000005E-4</v>
      </c>
      <c r="L118" s="10">
        <v>365268</v>
      </c>
      <c r="M118" s="12">
        <v>15</v>
      </c>
      <c r="N118" s="29">
        <v>485311000000</v>
      </c>
      <c r="O118">
        <v>87932</v>
      </c>
      <c r="P118" s="27">
        <v>4.5999999999999999E-3</v>
      </c>
      <c r="Q118" s="32">
        <v>483727</v>
      </c>
      <c r="R118" s="13">
        <v>3026000000</v>
      </c>
      <c r="S118" s="13">
        <v>1761</v>
      </c>
      <c r="V118" s="7" t="s">
        <v>120</v>
      </c>
      <c r="W118" s="6" t="s">
        <v>626</v>
      </c>
      <c r="X118" s="6" t="s">
        <v>615</v>
      </c>
      <c r="Y118" s="14" t="s">
        <v>1145</v>
      </c>
      <c r="Z118" s="1" t="s">
        <v>1245</v>
      </c>
    </row>
    <row r="119" spans="1:26" ht="35" x14ac:dyDescent="0.2">
      <c r="A119" s="6">
        <v>118</v>
      </c>
      <c r="B119" s="6" t="s">
        <v>624</v>
      </c>
      <c r="C119" s="6" t="s">
        <v>610</v>
      </c>
      <c r="D119" s="14" t="s">
        <v>869</v>
      </c>
      <c r="E119" s="14" t="s">
        <v>1182</v>
      </c>
      <c r="F119" s="13">
        <v>970</v>
      </c>
      <c r="G119" s="1" t="s">
        <v>1217</v>
      </c>
      <c r="H119" s="7" t="s">
        <v>121</v>
      </c>
      <c r="I119" s="14" t="s">
        <v>799</v>
      </c>
      <c r="J119" s="8">
        <v>5589623</v>
      </c>
      <c r="K119" s="9">
        <v>6.8000000000000005E-4</v>
      </c>
      <c r="L119" s="10">
        <v>6020</v>
      </c>
      <c r="M119" s="12">
        <v>929</v>
      </c>
      <c r="N119" s="29">
        <v>17420800000</v>
      </c>
      <c r="O119">
        <v>3221</v>
      </c>
      <c r="P119" s="27">
        <v>1.6000000000000001E-4</v>
      </c>
      <c r="Q119" s="32">
        <v>13711</v>
      </c>
      <c r="R119" s="13">
        <v>363600000</v>
      </c>
      <c r="S119" s="13">
        <v>215</v>
      </c>
      <c r="V119" s="7" t="s">
        <v>121</v>
      </c>
      <c r="W119" s="6" t="s">
        <v>624</v>
      </c>
      <c r="X119" s="6" t="s">
        <v>610</v>
      </c>
      <c r="Y119" s="14" t="s">
        <v>1182</v>
      </c>
      <c r="Z119" s="1" t="s">
        <v>1217</v>
      </c>
    </row>
    <row r="120" spans="1:26" ht="35" x14ac:dyDescent="0.2">
      <c r="A120" s="6">
        <v>119</v>
      </c>
      <c r="B120" s="6" t="s">
        <v>627</v>
      </c>
      <c r="C120" s="6" t="s">
        <v>605</v>
      </c>
      <c r="D120" s="14" t="s">
        <v>835</v>
      </c>
      <c r="E120" s="14" t="s">
        <v>1043</v>
      </c>
      <c r="F120" s="13">
        <v>236</v>
      </c>
      <c r="G120" s="1" t="s">
        <v>1246</v>
      </c>
      <c r="H120" s="7" t="s">
        <v>122</v>
      </c>
      <c r="I120" s="14" t="s">
        <v>659</v>
      </c>
      <c r="J120" s="8">
        <v>5513282</v>
      </c>
      <c r="K120" s="9">
        <v>6.7000000000000002E-4</v>
      </c>
      <c r="L120" s="10">
        <v>622980</v>
      </c>
      <c r="M120" s="12">
        <v>9</v>
      </c>
      <c r="N120" s="29">
        <v>2555492085</v>
      </c>
      <c r="O120">
        <v>496</v>
      </c>
      <c r="P120" s="27">
        <v>2.4000000000000001E-5</v>
      </c>
      <c r="Q120" s="32">
        <v>2752</v>
      </c>
      <c r="R120" s="13">
        <v>72500000</v>
      </c>
      <c r="S120" s="13">
        <v>46</v>
      </c>
      <c r="V120" s="7" t="s">
        <v>122</v>
      </c>
      <c r="W120" s="6" t="s">
        <v>627</v>
      </c>
      <c r="X120" s="6" t="s">
        <v>605</v>
      </c>
      <c r="Y120" s="14" t="s">
        <v>1043</v>
      </c>
      <c r="Z120" s="1" t="s">
        <v>1246</v>
      </c>
    </row>
    <row r="121" spans="1:26" ht="35" x14ac:dyDescent="0.2">
      <c r="A121" s="6">
        <v>120</v>
      </c>
      <c r="B121" s="6" t="s">
        <v>624</v>
      </c>
      <c r="C121" s="6" t="s">
        <v>610</v>
      </c>
      <c r="D121" s="14" t="s">
        <v>863</v>
      </c>
      <c r="E121" s="14" t="s">
        <v>1146</v>
      </c>
      <c r="F121" s="13">
        <v>968</v>
      </c>
      <c r="G121" s="1" t="s">
        <v>1247</v>
      </c>
      <c r="H121" s="7" t="s">
        <v>123</v>
      </c>
      <c r="I121" s="14" t="s">
        <v>747</v>
      </c>
      <c r="J121" s="8">
        <v>5494691</v>
      </c>
      <c r="K121" s="9">
        <v>6.7000000000000002E-4</v>
      </c>
      <c r="L121" s="10">
        <v>309500</v>
      </c>
      <c r="M121" s="12">
        <v>18</v>
      </c>
      <c r="N121" s="29">
        <v>108811000000</v>
      </c>
      <c r="O121">
        <v>21550</v>
      </c>
      <c r="P121" s="27">
        <v>1E-3</v>
      </c>
      <c r="Q121" s="32">
        <v>106943</v>
      </c>
      <c r="R121" s="13">
        <v>1321000000</v>
      </c>
      <c r="S121" s="13">
        <v>1531</v>
      </c>
      <c r="V121" s="7" t="s">
        <v>123</v>
      </c>
      <c r="W121" s="6" t="s">
        <v>624</v>
      </c>
      <c r="X121" s="6" t="s">
        <v>610</v>
      </c>
      <c r="Y121" s="14" t="s">
        <v>1146</v>
      </c>
      <c r="Z121" s="1" t="s">
        <v>1247</v>
      </c>
    </row>
    <row r="122" spans="1:26" ht="35" x14ac:dyDescent="0.2">
      <c r="A122" s="6">
        <v>121</v>
      </c>
      <c r="B122" s="6" t="s">
        <v>626</v>
      </c>
      <c r="C122" s="6" t="s">
        <v>613</v>
      </c>
      <c r="D122" s="14" t="s">
        <v>892</v>
      </c>
      <c r="E122" s="14" t="s">
        <v>1173</v>
      </c>
      <c r="F122" s="13">
        <v>421</v>
      </c>
      <c r="G122" s="1" t="s">
        <v>1248</v>
      </c>
      <c r="H122" s="7" t="s">
        <v>124</v>
      </c>
      <c r="I122" s="14" t="s">
        <v>769</v>
      </c>
      <c r="J122" s="8">
        <v>5474881</v>
      </c>
      <c r="K122" s="9">
        <v>6.7000000000000002E-4</v>
      </c>
      <c r="L122" s="10">
        <v>48088</v>
      </c>
      <c r="M122" s="12">
        <v>114</v>
      </c>
      <c r="N122" s="29">
        <v>132908000000</v>
      </c>
      <c r="O122">
        <v>24086</v>
      </c>
      <c r="P122" s="27">
        <v>1.2999999999999999E-3</v>
      </c>
      <c r="Q122" s="32">
        <v>141776</v>
      </c>
      <c r="R122" s="13">
        <v>535000000</v>
      </c>
      <c r="S122" s="13">
        <v>270</v>
      </c>
      <c r="V122" s="7" t="s">
        <v>124</v>
      </c>
      <c r="W122" s="6" t="s">
        <v>626</v>
      </c>
      <c r="X122" s="6" t="s">
        <v>613</v>
      </c>
      <c r="Y122" s="14" t="s">
        <v>1173</v>
      </c>
      <c r="Z122" s="1" t="s">
        <v>1248</v>
      </c>
    </row>
    <row r="123" spans="1:26" ht="35" x14ac:dyDescent="0.2">
      <c r="A123" s="6">
        <v>122</v>
      </c>
      <c r="B123" s="6" t="s">
        <v>627</v>
      </c>
      <c r="C123" s="6" t="s">
        <v>602</v>
      </c>
      <c r="D123" s="14" t="s">
        <v>847</v>
      </c>
      <c r="E123" s="14" t="s">
        <v>1124</v>
      </c>
      <c r="F123" s="13">
        <v>222</v>
      </c>
      <c r="G123" s="1" t="s">
        <v>546</v>
      </c>
      <c r="H123" s="7" t="s">
        <v>125</v>
      </c>
      <c r="I123" s="14" t="s">
        <v>729</v>
      </c>
      <c r="J123" s="8">
        <v>5315065</v>
      </c>
      <c r="K123" s="9">
        <v>6.4999999999999997E-4</v>
      </c>
      <c r="L123" s="10">
        <v>1030700</v>
      </c>
      <c r="M123" s="12">
        <v>5</v>
      </c>
      <c r="N123" s="29">
        <v>10651709411</v>
      </c>
      <c r="O123">
        <v>2121</v>
      </c>
      <c r="P123" s="27">
        <v>1E-4</v>
      </c>
      <c r="Q123" s="32">
        <v>10767</v>
      </c>
      <c r="R123" s="13">
        <v>1350000000</v>
      </c>
      <c r="S123" s="13">
        <v>1258</v>
      </c>
      <c r="V123" s="7" t="s">
        <v>125</v>
      </c>
      <c r="W123" s="6" t="s">
        <v>627</v>
      </c>
      <c r="X123" s="6" t="s">
        <v>602</v>
      </c>
      <c r="Y123" s="14" t="s">
        <v>1124</v>
      </c>
      <c r="Z123" s="1" t="s">
        <v>546</v>
      </c>
    </row>
    <row r="124" spans="1:26" ht="35" x14ac:dyDescent="0.2">
      <c r="A124" s="6">
        <v>123</v>
      </c>
      <c r="B124" s="6" t="s">
        <v>626</v>
      </c>
      <c r="C124" s="6" t="s">
        <v>615</v>
      </c>
      <c r="D124" s="14" t="s">
        <v>957</v>
      </c>
      <c r="E124" s="14" t="s">
        <v>1096</v>
      </c>
      <c r="F124" s="13">
        <v>353</v>
      </c>
      <c r="G124" s="1" t="s">
        <v>1249</v>
      </c>
      <c r="H124" s="7" t="s">
        <v>126</v>
      </c>
      <c r="I124" s="14" t="s">
        <v>707</v>
      </c>
      <c r="J124" s="8">
        <v>5308039</v>
      </c>
      <c r="K124" s="9">
        <v>6.4000000000000005E-4</v>
      </c>
      <c r="L124" s="10">
        <v>68890</v>
      </c>
      <c r="M124" s="12">
        <v>77</v>
      </c>
      <c r="N124" s="29">
        <v>551395000000</v>
      </c>
      <c r="O124">
        <v>106106</v>
      </c>
      <c r="P124" s="27">
        <v>5.1999999999999998E-3</v>
      </c>
      <c r="Q124" s="32">
        <v>577389</v>
      </c>
      <c r="R124" s="13">
        <v>757000000</v>
      </c>
      <c r="S124" s="13">
        <v>457</v>
      </c>
      <c r="V124" s="7" t="s">
        <v>126</v>
      </c>
      <c r="W124" s="6" t="s">
        <v>626</v>
      </c>
      <c r="X124" s="6" t="s">
        <v>615</v>
      </c>
      <c r="Y124" s="14" t="s">
        <v>1096</v>
      </c>
      <c r="Z124" s="1" t="s">
        <v>1249</v>
      </c>
    </row>
    <row r="125" spans="1:26" ht="35" x14ac:dyDescent="0.2">
      <c r="A125" s="6">
        <v>124</v>
      </c>
      <c r="B125" s="6" t="s">
        <v>620</v>
      </c>
      <c r="C125" s="6" t="s">
        <v>620</v>
      </c>
      <c r="D125" s="14" t="s">
        <v>943</v>
      </c>
      <c r="E125" s="14" t="s">
        <v>1139</v>
      </c>
      <c r="F125" s="13">
        <v>64</v>
      </c>
      <c r="G125" s="1" t="s">
        <v>1250</v>
      </c>
      <c r="H125" s="7" t="s">
        <v>127</v>
      </c>
      <c r="I125" s="14" t="s">
        <v>740</v>
      </c>
      <c r="J125" s="8">
        <v>5251899</v>
      </c>
      <c r="K125" s="9">
        <v>6.4000000000000005E-4</v>
      </c>
      <c r="L125" s="10">
        <v>263310</v>
      </c>
      <c r="M125" s="12">
        <v>20</v>
      </c>
      <c r="N125" s="29">
        <v>252176000000</v>
      </c>
      <c r="O125">
        <v>48750</v>
      </c>
      <c r="P125" s="27">
        <v>2.3999999999999998E-3</v>
      </c>
      <c r="Q125" s="32">
        <v>260236</v>
      </c>
      <c r="R125" s="13">
        <v>5201000000</v>
      </c>
      <c r="S125" s="13">
        <v>3277</v>
      </c>
      <c r="V125" s="7" t="s">
        <v>127</v>
      </c>
      <c r="W125" s="6" t="s">
        <v>620</v>
      </c>
      <c r="X125" s="6" t="s">
        <v>620</v>
      </c>
      <c r="Y125" s="14" t="s">
        <v>1139</v>
      </c>
      <c r="Z125" s="1" t="s">
        <v>1250</v>
      </c>
    </row>
    <row r="126" spans="1:26" ht="35" x14ac:dyDescent="0.2">
      <c r="A126" s="6">
        <v>125</v>
      </c>
      <c r="B126" s="6" t="s">
        <v>625</v>
      </c>
      <c r="C126" s="6" t="s">
        <v>618</v>
      </c>
      <c r="D126" s="14" t="s">
        <v>994</v>
      </c>
      <c r="E126" s="14" t="s">
        <v>1050</v>
      </c>
      <c r="F126" s="13">
        <v>506</v>
      </c>
      <c r="G126" s="1" t="s">
        <v>1251</v>
      </c>
      <c r="H126" s="7" t="s">
        <v>128</v>
      </c>
      <c r="I126" s="14" t="s">
        <v>667</v>
      </c>
      <c r="J126" s="8">
        <v>5152950</v>
      </c>
      <c r="K126" s="9">
        <v>6.3000000000000003E-4</v>
      </c>
      <c r="L126" s="10">
        <v>51060</v>
      </c>
      <c r="M126" s="12">
        <v>101</v>
      </c>
      <c r="N126" s="29">
        <v>86497941439</v>
      </c>
      <c r="O126">
        <v>16942</v>
      </c>
      <c r="P126" s="27">
        <v>8.0999999999999996E-4</v>
      </c>
      <c r="Q126" s="32">
        <v>95350</v>
      </c>
      <c r="R126" s="13">
        <v>3194000000</v>
      </c>
      <c r="S126" s="13">
        <v>1816</v>
      </c>
      <c r="V126" s="7" t="s">
        <v>128</v>
      </c>
      <c r="W126" s="6" t="s">
        <v>625</v>
      </c>
      <c r="X126" s="6" t="s">
        <v>618</v>
      </c>
      <c r="Y126" s="14" t="s">
        <v>1050</v>
      </c>
      <c r="Z126" s="1" t="s">
        <v>1251</v>
      </c>
    </row>
    <row r="127" spans="1:26" ht="35" x14ac:dyDescent="0.2">
      <c r="A127" s="6">
        <v>126</v>
      </c>
      <c r="B127" s="6" t="s">
        <v>624</v>
      </c>
      <c r="C127" s="6" t="s">
        <v>610</v>
      </c>
      <c r="D127" s="14" t="s">
        <v>859</v>
      </c>
      <c r="E127" s="14" t="s">
        <v>1106</v>
      </c>
      <c r="F127" s="13">
        <v>965</v>
      </c>
      <c r="G127" s="1" t="s">
        <v>1252</v>
      </c>
      <c r="H127" s="7" t="s">
        <v>129</v>
      </c>
      <c r="I127" s="14" t="s">
        <v>129</v>
      </c>
      <c r="J127" s="8">
        <v>5026078</v>
      </c>
      <c r="K127" s="9">
        <v>6.0999999999999997E-4</v>
      </c>
      <c r="L127" s="10">
        <v>17820</v>
      </c>
      <c r="M127" s="12">
        <v>282</v>
      </c>
      <c r="N127" s="29">
        <v>163705000000</v>
      </c>
      <c r="O127">
        <v>33832</v>
      </c>
      <c r="P127" s="27">
        <v>1.5E-3</v>
      </c>
      <c r="Q127" s="32">
        <v>160227</v>
      </c>
      <c r="R127" s="13">
        <v>913200000</v>
      </c>
      <c r="S127" s="13">
        <v>1215</v>
      </c>
      <c r="V127" s="7" t="s">
        <v>129</v>
      </c>
      <c r="W127" s="6" t="s">
        <v>624</v>
      </c>
      <c r="X127" s="6" t="s">
        <v>610</v>
      </c>
      <c r="Y127" s="14" t="s">
        <v>1106</v>
      </c>
      <c r="Z127" s="1" t="s">
        <v>1252</v>
      </c>
    </row>
    <row r="128" spans="1:26" ht="35" x14ac:dyDescent="0.2">
      <c r="A128" s="6">
        <v>127</v>
      </c>
      <c r="B128" s="6" t="s">
        <v>625</v>
      </c>
      <c r="C128" s="6" t="s">
        <v>618</v>
      </c>
      <c r="D128" s="14" t="s">
        <v>918</v>
      </c>
      <c r="E128" s="14" t="s">
        <v>1149</v>
      </c>
      <c r="F128" s="13">
        <v>507</v>
      </c>
      <c r="G128" s="1" t="s">
        <v>1253</v>
      </c>
      <c r="H128" s="7" t="s">
        <v>130</v>
      </c>
      <c r="I128" s="14" t="s">
        <v>130</v>
      </c>
      <c r="J128" s="8">
        <v>4571189</v>
      </c>
      <c r="K128" s="9">
        <v>5.5999999999999995E-4</v>
      </c>
      <c r="L128" s="10">
        <v>74340</v>
      </c>
      <c r="M128" s="12">
        <v>61</v>
      </c>
      <c r="N128" s="29">
        <v>83318176900</v>
      </c>
      <c r="O128">
        <v>18686</v>
      </c>
      <c r="P128" s="27">
        <v>7.7999999999999999E-4</v>
      </c>
      <c r="Q128" s="32">
        <v>86260</v>
      </c>
      <c r="R128" s="13">
        <v>1211000000</v>
      </c>
      <c r="S128" s="13">
        <v>823</v>
      </c>
      <c r="V128" s="7" t="s">
        <v>130</v>
      </c>
      <c r="W128" s="6" t="s">
        <v>625</v>
      </c>
      <c r="X128" s="6" t="s">
        <v>618</v>
      </c>
      <c r="Y128" s="14" t="s">
        <v>1149</v>
      </c>
      <c r="Z128" s="1" t="s">
        <v>1253</v>
      </c>
    </row>
    <row r="129" spans="1:26" ht="35" x14ac:dyDescent="0.2">
      <c r="A129" s="6">
        <v>128</v>
      </c>
      <c r="B129" s="6" t="s">
        <v>626</v>
      </c>
      <c r="C129" s="6" t="s">
        <v>616</v>
      </c>
      <c r="D129" s="14" t="s">
        <v>884</v>
      </c>
      <c r="E129" s="14" t="s">
        <v>1052</v>
      </c>
      <c r="F129" s="13">
        <v>385</v>
      </c>
      <c r="G129" s="1" t="s">
        <v>1254</v>
      </c>
      <c r="H129" s="7" t="s">
        <v>131</v>
      </c>
      <c r="I129" s="14" t="s">
        <v>668</v>
      </c>
      <c r="J129" s="8">
        <v>3848160</v>
      </c>
      <c r="K129" s="9">
        <v>4.6999999999999999E-4</v>
      </c>
      <c r="L129" s="10">
        <v>55960</v>
      </c>
      <c r="M129" s="12">
        <v>69</v>
      </c>
      <c r="N129" s="29">
        <v>84393795502</v>
      </c>
      <c r="O129">
        <v>21662</v>
      </c>
      <c r="P129" s="27">
        <v>7.9000000000000001E-4</v>
      </c>
      <c r="Q129" s="32">
        <v>92526</v>
      </c>
      <c r="R129" s="13">
        <v>633800000</v>
      </c>
      <c r="S129" s="13">
        <v>409</v>
      </c>
      <c r="V129" s="7" t="s">
        <v>131</v>
      </c>
      <c r="W129" s="6" t="s">
        <v>626</v>
      </c>
      <c r="X129" s="6" t="s">
        <v>616</v>
      </c>
      <c r="Y129" s="14" t="s">
        <v>1052</v>
      </c>
      <c r="Z129" s="1" t="s">
        <v>1254</v>
      </c>
    </row>
    <row r="130" spans="1:26" ht="35" x14ac:dyDescent="0.2">
      <c r="A130" s="6">
        <v>129</v>
      </c>
      <c r="B130" s="6" t="s">
        <v>624</v>
      </c>
      <c r="C130" s="6" t="s">
        <v>610</v>
      </c>
      <c r="D130" s="14" t="s">
        <v>972</v>
      </c>
      <c r="E130" s="14" t="s">
        <v>1076</v>
      </c>
      <c r="F130" s="13">
        <v>995</v>
      </c>
      <c r="G130" s="1" t="s">
        <v>1255</v>
      </c>
      <c r="H130" s="7" t="s">
        <v>132</v>
      </c>
      <c r="I130" s="14" t="s">
        <v>690</v>
      </c>
      <c r="J130" s="8">
        <v>3806671</v>
      </c>
      <c r="K130" s="9">
        <v>4.6000000000000001E-4</v>
      </c>
      <c r="L130" s="10">
        <v>69490</v>
      </c>
      <c r="M130" s="12">
        <v>55</v>
      </c>
      <c r="N130" s="29">
        <v>30777833585</v>
      </c>
      <c r="O130">
        <v>8083</v>
      </c>
      <c r="P130" s="27">
        <v>2.9E-4</v>
      </c>
      <c r="Q130" s="32">
        <v>33776</v>
      </c>
      <c r="R130" s="13">
        <v>1823000000</v>
      </c>
      <c r="S130" s="13">
        <v>1267</v>
      </c>
      <c r="V130" s="7" t="s">
        <v>132</v>
      </c>
      <c r="W130" s="6" t="s">
        <v>624</v>
      </c>
      <c r="X130" s="6" t="s">
        <v>610</v>
      </c>
      <c r="Y130" s="14" t="s">
        <v>1076</v>
      </c>
      <c r="Z130" s="1" t="s">
        <v>1255</v>
      </c>
    </row>
    <row r="131" spans="1:26" ht="35" x14ac:dyDescent="0.2">
      <c r="A131" s="6">
        <v>130</v>
      </c>
      <c r="B131" s="6" t="s">
        <v>627</v>
      </c>
      <c r="C131" s="6" t="s">
        <v>603</v>
      </c>
      <c r="D131" s="14" t="s">
        <v>810</v>
      </c>
      <c r="E131" s="14" t="s">
        <v>1067</v>
      </c>
      <c r="F131" s="13">
        <v>291</v>
      </c>
      <c r="G131" s="1" t="s">
        <v>1256</v>
      </c>
      <c r="H131" s="7" t="s">
        <v>133</v>
      </c>
      <c r="I131" s="14" t="s">
        <v>681</v>
      </c>
      <c r="J131" s="8">
        <v>3607003</v>
      </c>
      <c r="K131" s="9">
        <v>4.4000000000000002E-4</v>
      </c>
      <c r="L131" s="10">
        <v>101000</v>
      </c>
      <c r="M131" s="12">
        <v>36</v>
      </c>
      <c r="N131" s="29" t="e">
        <v>#N/A</v>
      </c>
      <c r="O131" t="e">
        <v>#N/A</v>
      </c>
      <c r="P131" s="27" t="e">
        <v>#N/A</v>
      </c>
      <c r="Q131" s="32">
        <v>2275</v>
      </c>
      <c r="R131" s="13">
        <v>582000000</v>
      </c>
      <c r="S131" s="13">
        <v>614</v>
      </c>
      <c r="V131" s="7" t="s">
        <v>133</v>
      </c>
      <c r="W131" s="6" t="s">
        <v>627</v>
      </c>
      <c r="X131" s="6" t="s">
        <v>603</v>
      </c>
      <c r="Y131" s="14" t="s">
        <v>1067</v>
      </c>
      <c r="Z131" s="1" t="s">
        <v>1256</v>
      </c>
    </row>
    <row r="132" spans="1:26" ht="35" x14ac:dyDescent="0.2">
      <c r="A132" s="6">
        <v>131</v>
      </c>
      <c r="B132" s="6" t="s">
        <v>624</v>
      </c>
      <c r="C132" s="6" t="s">
        <v>608</v>
      </c>
      <c r="D132" s="14" t="s">
        <v>941</v>
      </c>
      <c r="E132" s="14" t="s">
        <v>1130</v>
      </c>
      <c r="F132" s="13">
        <v>976</v>
      </c>
      <c r="G132" s="1" t="s">
        <v>1257</v>
      </c>
      <c r="H132" s="7" t="s">
        <v>134</v>
      </c>
      <c r="I132" s="14" t="s">
        <v>733</v>
      </c>
      <c r="J132" s="8">
        <v>3517100</v>
      </c>
      <c r="K132" s="9">
        <v>4.2999999999999999E-4</v>
      </c>
      <c r="L132" s="10">
        <v>1553560</v>
      </c>
      <c r="M132" s="12">
        <v>2</v>
      </c>
      <c r="N132" s="29">
        <v>20325121394</v>
      </c>
      <c r="O132">
        <v>5922</v>
      </c>
      <c r="P132" s="27">
        <v>1.9000000000000001E-4</v>
      </c>
      <c r="Q132" s="32">
        <v>23586</v>
      </c>
      <c r="R132" s="13">
        <v>462400000</v>
      </c>
      <c r="S132" s="13">
        <v>417</v>
      </c>
      <c r="V132" s="7" t="s">
        <v>134</v>
      </c>
      <c r="W132" s="6" t="s">
        <v>624</v>
      </c>
      <c r="X132" s="6" t="s">
        <v>608</v>
      </c>
      <c r="Y132" s="14" t="s">
        <v>1130</v>
      </c>
      <c r="Z132" s="1" t="s">
        <v>1257</v>
      </c>
    </row>
    <row r="133" spans="1:26" ht="35" x14ac:dyDescent="0.2">
      <c r="A133" s="6">
        <v>132</v>
      </c>
      <c r="B133" s="6" t="s">
        <v>625</v>
      </c>
      <c r="C133" s="6" t="s">
        <v>617</v>
      </c>
      <c r="D133" s="14" t="s">
        <v>996</v>
      </c>
      <c r="E133" s="14" t="s">
        <v>1207</v>
      </c>
      <c r="F133" s="13">
        <v>598</v>
      </c>
      <c r="G133" s="1" t="s">
        <v>518</v>
      </c>
      <c r="H133" s="7" t="s">
        <v>135</v>
      </c>
      <c r="I133" s="14" t="s">
        <v>792</v>
      </c>
      <c r="J133" s="8">
        <v>3384688</v>
      </c>
      <c r="K133" s="9">
        <v>4.0999999999999999E-4</v>
      </c>
      <c r="L133" s="10">
        <v>175020</v>
      </c>
      <c r="M133" s="12">
        <v>19</v>
      </c>
      <c r="N133" s="29">
        <v>77240830877</v>
      </c>
      <c r="O133">
        <v>22798</v>
      </c>
      <c r="P133" s="27">
        <v>7.2999999999999996E-4</v>
      </c>
      <c r="Q133" s="32">
        <v>80962</v>
      </c>
      <c r="R133" s="13">
        <v>3660000000</v>
      </c>
      <c r="S133" s="13">
        <v>3070</v>
      </c>
      <c r="V133" s="7" t="s">
        <v>135</v>
      </c>
      <c r="W133" s="6" t="s">
        <v>625</v>
      </c>
      <c r="X133" s="6" t="s">
        <v>617</v>
      </c>
      <c r="Y133" s="14" t="s">
        <v>1207</v>
      </c>
      <c r="Z133" s="1" t="s">
        <v>518</v>
      </c>
    </row>
    <row r="134" spans="1:26" ht="35" x14ac:dyDescent="0.2">
      <c r="A134" s="6">
        <v>133</v>
      </c>
      <c r="B134" s="6" t="s">
        <v>626</v>
      </c>
      <c r="C134" s="6" t="s">
        <v>616</v>
      </c>
      <c r="D134" s="14" t="s">
        <v>969</v>
      </c>
      <c r="E134" s="14" t="s">
        <v>1032</v>
      </c>
      <c r="F134" s="13">
        <v>387</v>
      </c>
      <c r="G134" s="1" t="s">
        <v>1258</v>
      </c>
      <c r="H134" s="7" t="s">
        <v>136</v>
      </c>
      <c r="I134" s="14" t="s">
        <v>649</v>
      </c>
      <c r="J134" s="8">
        <v>3140095</v>
      </c>
      <c r="K134" s="9">
        <v>3.8000000000000002E-4</v>
      </c>
      <c r="L134" s="10">
        <v>51000</v>
      </c>
      <c r="M134" s="12">
        <v>62</v>
      </c>
      <c r="N134" s="29">
        <v>27514782476</v>
      </c>
      <c r="O134">
        <v>8639</v>
      </c>
      <c r="P134" s="27">
        <v>2.5999999999999998E-4</v>
      </c>
      <c r="Q134" s="32">
        <v>28343</v>
      </c>
      <c r="R134" s="13">
        <v>327900000</v>
      </c>
      <c r="S134" s="13">
        <v>249</v>
      </c>
      <c r="V134" s="7" t="s">
        <v>136</v>
      </c>
      <c r="W134" s="6" t="s">
        <v>626</v>
      </c>
      <c r="X134" s="6" t="s">
        <v>616</v>
      </c>
      <c r="Y134" s="14" t="s">
        <v>1032</v>
      </c>
      <c r="Z134" s="1" t="s">
        <v>1258</v>
      </c>
    </row>
    <row r="135" spans="1:26" ht="35" x14ac:dyDescent="0.2">
      <c r="A135" s="6">
        <v>134</v>
      </c>
      <c r="B135" s="6" t="s">
        <v>624</v>
      </c>
      <c r="C135" s="6" t="s">
        <v>610</v>
      </c>
      <c r="D135" s="14" t="s">
        <v>864</v>
      </c>
      <c r="E135" s="14" t="s">
        <v>1156</v>
      </c>
      <c r="F135" s="13">
        <v>974</v>
      </c>
      <c r="G135" s="1" t="s">
        <v>1259</v>
      </c>
      <c r="H135" s="7" t="s">
        <v>137</v>
      </c>
      <c r="I135" s="14" t="s">
        <v>756</v>
      </c>
      <c r="J135" s="8">
        <v>3115889</v>
      </c>
      <c r="K135" s="9">
        <v>3.8000000000000002E-4</v>
      </c>
      <c r="L135" s="10">
        <v>11610</v>
      </c>
      <c r="M135" s="12">
        <v>268</v>
      </c>
      <c r="N135" s="29">
        <v>213003000000</v>
      </c>
      <c r="O135">
        <v>71500</v>
      </c>
      <c r="P135" s="27">
        <v>2E-3</v>
      </c>
      <c r="Q135" s="32">
        <v>217983</v>
      </c>
      <c r="R135" s="13">
        <v>444000000</v>
      </c>
      <c r="S135" s="13">
        <v>1474</v>
      </c>
      <c r="V135" s="7" t="s">
        <v>137</v>
      </c>
      <c r="W135" s="6" t="s">
        <v>624</v>
      </c>
      <c r="X135" s="6" t="s">
        <v>610</v>
      </c>
      <c r="Y135" s="14" t="s">
        <v>1156</v>
      </c>
      <c r="Z135" s="1" t="s">
        <v>1259</v>
      </c>
    </row>
    <row r="136" spans="1:26" ht="35" x14ac:dyDescent="0.2">
      <c r="A136" s="6">
        <v>135</v>
      </c>
      <c r="B136" s="6" t="s">
        <v>627</v>
      </c>
      <c r="C136" s="6" t="s">
        <v>606</v>
      </c>
      <c r="D136" s="14" t="s">
        <v>819</v>
      </c>
      <c r="E136" s="14" t="s">
        <v>1135</v>
      </c>
      <c r="F136" s="13">
        <v>264</v>
      </c>
      <c r="G136" s="1" t="s">
        <v>1260</v>
      </c>
      <c r="H136" s="7" t="s">
        <v>138</v>
      </c>
      <c r="I136" s="14" t="s">
        <v>737</v>
      </c>
      <c r="J136" s="8">
        <v>3092816</v>
      </c>
      <c r="K136" s="9">
        <v>3.8000000000000002E-4</v>
      </c>
      <c r="L136" s="10">
        <v>823290</v>
      </c>
      <c r="M136" s="12">
        <v>4</v>
      </c>
      <c r="N136" s="29">
        <v>12351025067</v>
      </c>
      <c r="O136">
        <v>4168</v>
      </c>
      <c r="P136" s="27">
        <v>1.2E-4</v>
      </c>
      <c r="Q136" s="32">
        <v>13372</v>
      </c>
      <c r="R136" s="13">
        <v>288000000</v>
      </c>
      <c r="S136" s="13">
        <v>417</v>
      </c>
      <c r="V136" s="7" t="s">
        <v>138</v>
      </c>
      <c r="W136" s="6" t="s">
        <v>627</v>
      </c>
      <c r="X136" s="6" t="s">
        <v>606</v>
      </c>
      <c r="Y136" s="14" t="s">
        <v>1135</v>
      </c>
      <c r="Z136" s="1" t="s">
        <v>1260</v>
      </c>
    </row>
    <row r="137" spans="1:26" ht="35" x14ac:dyDescent="0.2">
      <c r="A137" s="6">
        <v>136</v>
      </c>
      <c r="B137" s="6" t="s">
        <v>626</v>
      </c>
      <c r="C137" s="6" t="s">
        <v>613</v>
      </c>
      <c r="D137" s="14" t="s">
        <v>978</v>
      </c>
      <c r="E137" s="14" t="s">
        <v>1128</v>
      </c>
      <c r="F137" s="13">
        <v>373</v>
      </c>
      <c r="G137" s="1" t="s">
        <v>1261</v>
      </c>
      <c r="H137" s="7" t="s">
        <v>139</v>
      </c>
      <c r="I137" s="14" t="s">
        <v>732</v>
      </c>
      <c r="J137" s="8">
        <v>2996106</v>
      </c>
      <c r="K137" s="9">
        <v>3.6000000000000002E-4</v>
      </c>
      <c r="L137" s="10">
        <v>32850</v>
      </c>
      <c r="M137" s="12">
        <v>91</v>
      </c>
      <c r="N137" s="29">
        <v>16539436547</v>
      </c>
      <c r="O137">
        <v>5393</v>
      </c>
      <c r="P137" s="27">
        <v>1.6000000000000001E-4</v>
      </c>
      <c r="Q137" s="32">
        <v>18200</v>
      </c>
      <c r="R137" s="13">
        <v>1065000000</v>
      </c>
      <c r="S137" s="13">
        <v>758</v>
      </c>
      <c r="V137" s="7" t="s">
        <v>139</v>
      </c>
      <c r="W137" s="6" t="s">
        <v>626</v>
      </c>
      <c r="X137" s="6" t="s">
        <v>613</v>
      </c>
      <c r="Y137" s="14" t="s">
        <v>1128</v>
      </c>
      <c r="Z137" s="1" t="s">
        <v>1261</v>
      </c>
    </row>
    <row r="138" spans="1:26" ht="35" x14ac:dyDescent="0.2">
      <c r="A138" s="6">
        <v>137</v>
      </c>
      <c r="B138" s="6" t="s">
        <v>624</v>
      </c>
      <c r="C138" s="6" t="s">
        <v>610</v>
      </c>
      <c r="D138" s="14" t="s">
        <v>966</v>
      </c>
      <c r="E138" s="14" t="s">
        <v>1016</v>
      </c>
      <c r="F138" s="13">
        <v>374</v>
      </c>
      <c r="G138" s="1" t="s">
        <v>1262</v>
      </c>
      <c r="H138" s="7" t="s">
        <v>140</v>
      </c>
      <c r="I138" s="14" t="s">
        <v>637</v>
      </c>
      <c r="J138" s="8">
        <v>2952365</v>
      </c>
      <c r="K138" s="9">
        <v>3.6000000000000002E-4</v>
      </c>
      <c r="L138" s="10">
        <v>28470</v>
      </c>
      <c r="M138" s="12">
        <v>104</v>
      </c>
      <c r="N138" s="29">
        <v>24085749592</v>
      </c>
      <c r="O138">
        <v>8183</v>
      </c>
      <c r="P138" s="27">
        <v>2.3000000000000001E-4</v>
      </c>
      <c r="Q138" s="32">
        <v>25787</v>
      </c>
      <c r="R138" s="13">
        <v>2847000000</v>
      </c>
      <c r="S138" s="13">
        <v>2676</v>
      </c>
      <c r="V138" s="7" t="s">
        <v>140</v>
      </c>
      <c r="W138" s="6" t="s">
        <v>624</v>
      </c>
      <c r="X138" s="6" t="s">
        <v>610</v>
      </c>
      <c r="Y138" s="14" t="s">
        <v>1016</v>
      </c>
      <c r="Z138" s="1" t="s">
        <v>1262</v>
      </c>
    </row>
    <row r="139" spans="1:26" ht="35" x14ac:dyDescent="0.2">
      <c r="A139" s="6">
        <v>138</v>
      </c>
      <c r="B139" s="6" t="s">
        <v>628</v>
      </c>
      <c r="C139" s="6" t="s">
        <v>619</v>
      </c>
      <c r="D139" s="14" t="s">
        <v>999</v>
      </c>
      <c r="E139" s="14" t="s">
        <v>1100</v>
      </c>
      <c r="F139" s="13" t="s">
        <v>1099</v>
      </c>
      <c r="G139" s="1" t="s">
        <v>1263</v>
      </c>
      <c r="H139" s="7" t="s">
        <v>141</v>
      </c>
      <c r="I139" s="14" t="s">
        <v>709</v>
      </c>
      <c r="J139" s="8">
        <v>2837077</v>
      </c>
      <c r="K139" s="9">
        <v>3.4000000000000002E-4</v>
      </c>
      <c r="L139" s="10">
        <v>10830</v>
      </c>
      <c r="M139" s="12">
        <v>262</v>
      </c>
      <c r="N139" s="29">
        <v>19423355409</v>
      </c>
      <c r="O139">
        <v>6840</v>
      </c>
      <c r="P139" s="27">
        <v>1.8000000000000001E-4</v>
      </c>
      <c r="Q139" s="32">
        <v>19930</v>
      </c>
      <c r="R139" s="13">
        <v>1354000000</v>
      </c>
      <c r="S139" s="13">
        <v>1320</v>
      </c>
      <c r="V139" s="7" t="s">
        <v>141</v>
      </c>
      <c r="W139" s="6" t="s">
        <v>628</v>
      </c>
      <c r="X139" s="6" t="s">
        <v>619</v>
      </c>
      <c r="Y139" s="14" t="s">
        <v>1100</v>
      </c>
      <c r="Z139" s="1" t="s">
        <v>1263</v>
      </c>
    </row>
    <row r="140" spans="1:26" ht="35" x14ac:dyDescent="0.2">
      <c r="A140" s="6">
        <v>139</v>
      </c>
      <c r="B140" s="6" t="s">
        <v>626</v>
      </c>
      <c r="C140" s="6" t="s">
        <v>615</v>
      </c>
      <c r="D140" s="14" t="s">
        <v>889</v>
      </c>
      <c r="E140" s="14" t="s">
        <v>1115</v>
      </c>
      <c r="F140" s="13">
        <v>370</v>
      </c>
      <c r="G140" s="1" t="s">
        <v>1264</v>
      </c>
      <c r="H140" s="7" t="s">
        <v>142</v>
      </c>
      <c r="I140" s="14" t="s">
        <v>722</v>
      </c>
      <c r="J140" s="8">
        <v>2830144</v>
      </c>
      <c r="K140" s="9">
        <v>3.4000000000000002E-4</v>
      </c>
      <c r="L140" s="10">
        <v>62674</v>
      </c>
      <c r="M140" s="12">
        <v>45</v>
      </c>
      <c r="N140" s="29">
        <v>79789877416</v>
      </c>
      <c r="O140">
        <v>27956</v>
      </c>
      <c r="P140" s="27">
        <v>7.5000000000000002E-4</v>
      </c>
      <c r="Q140" s="32">
        <v>84869</v>
      </c>
      <c r="R140" s="13">
        <v>2768000000</v>
      </c>
      <c r="S140" s="13">
        <v>2680</v>
      </c>
      <c r="V140" s="7" t="s">
        <v>142</v>
      </c>
      <c r="W140" s="6" t="s">
        <v>626</v>
      </c>
      <c r="X140" s="6" t="s">
        <v>615</v>
      </c>
      <c r="Y140" s="14" t="s">
        <v>1115</v>
      </c>
      <c r="Z140" s="1" t="s">
        <v>1264</v>
      </c>
    </row>
    <row r="141" spans="1:26" ht="35" x14ac:dyDescent="0.2">
      <c r="A141" s="6">
        <v>140</v>
      </c>
      <c r="B141" s="6" t="s">
        <v>627</v>
      </c>
      <c r="C141" s="6" t="s">
        <v>602</v>
      </c>
      <c r="D141" s="14" t="s">
        <v>841</v>
      </c>
      <c r="E141" s="14" t="s">
        <v>1075</v>
      </c>
      <c r="F141" s="13">
        <v>220</v>
      </c>
      <c r="G141" s="1" t="s">
        <v>1265</v>
      </c>
      <c r="H141" s="7" t="s">
        <v>143</v>
      </c>
      <c r="I141" s="14" t="s">
        <v>689</v>
      </c>
      <c r="J141" s="8">
        <v>2822093</v>
      </c>
      <c r="K141" s="9">
        <v>3.4000000000000002E-4</v>
      </c>
      <c r="L141" s="10">
        <v>10120</v>
      </c>
      <c r="M141" s="12">
        <v>279</v>
      </c>
      <c r="N141" s="29">
        <v>2396111022</v>
      </c>
      <c r="O141">
        <v>888</v>
      </c>
      <c r="P141" s="27">
        <v>2.3E-5</v>
      </c>
      <c r="Q141" s="32">
        <v>2508</v>
      </c>
      <c r="R141" s="13">
        <v>90500000</v>
      </c>
      <c r="S141" s="13">
        <v>170</v>
      </c>
      <c r="V141" s="7" t="s">
        <v>143</v>
      </c>
      <c r="W141" s="6" t="s">
        <v>627</v>
      </c>
      <c r="X141" s="6" t="s">
        <v>602</v>
      </c>
      <c r="Y141" s="14" t="s">
        <v>1075</v>
      </c>
      <c r="Z141" s="1" t="s">
        <v>1265</v>
      </c>
    </row>
    <row r="142" spans="1:26" ht="35" x14ac:dyDescent="0.2">
      <c r="A142" s="6">
        <v>141</v>
      </c>
      <c r="B142" s="6" t="s">
        <v>626</v>
      </c>
      <c r="C142" s="6" t="s">
        <v>616</v>
      </c>
      <c r="D142" s="14" t="s">
        <v>964</v>
      </c>
      <c r="E142" s="14" t="s">
        <v>1009</v>
      </c>
      <c r="F142" s="13">
        <v>355</v>
      </c>
      <c r="G142" s="1" t="s">
        <v>1266</v>
      </c>
      <c r="H142" s="7" t="s">
        <v>144</v>
      </c>
      <c r="I142" s="14" t="s">
        <v>1224</v>
      </c>
      <c r="J142" s="8">
        <v>2771508</v>
      </c>
      <c r="K142" s="9">
        <v>3.4000000000000002E-4</v>
      </c>
      <c r="L142" s="10">
        <v>27400</v>
      </c>
      <c r="M142" s="12">
        <v>101</v>
      </c>
      <c r="N142" s="29">
        <v>23547179830</v>
      </c>
      <c r="O142">
        <v>8375</v>
      </c>
      <c r="P142" s="27">
        <v>2.2000000000000001E-4</v>
      </c>
      <c r="Q142" s="32">
        <v>27178</v>
      </c>
      <c r="R142" s="13">
        <v>1311000000</v>
      </c>
      <c r="S142" s="13">
        <v>1177</v>
      </c>
      <c r="V142" s="7" t="s">
        <v>144</v>
      </c>
      <c r="W142" s="6" t="s">
        <v>626</v>
      </c>
      <c r="X142" s="6" t="s">
        <v>616</v>
      </c>
      <c r="Y142" s="14" t="s">
        <v>1009</v>
      </c>
      <c r="Z142" s="1" t="s">
        <v>1266</v>
      </c>
    </row>
    <row r="143" spans="1:26" ht="35" x14ac:dyDescent="0.2">
      <c r="A143" s="6">
        <v>142</v>
      </c>
      <c r="B143" s="6" t="s">
        <v>627</v>
      </c>
      <c r="C143" s="6" t="s">
        <v>605</v>
      </c>
      <c r="D143" s="14" t="s">
        <v>840</v>
      </c>
      <c r="E143" s="14" t="s">
        <v>1074</v>
      </c>
      <c r="F143" s="13">
        <v>241</v>
      </c>
      <c r="G143" s="1" t="s">
        <v>1267</v>
      </c>
      <c r="H143" s="7" t="s">
        <v>145</v>
      </c>
      <c r="I143" s="14" t="s">
        <v>688</v>
      </c>
      <c r="J143" s="8">
        <v>2593130</v>
      </c>
      <c r="K143" s="9">
        <v>3.2000000000000003E-4</v>
      </c>
      <c r="L143" s="10">
        <v>257670</v>
      </c>
      <c r="M143" s="12">
        <v>10</v>
      </c>
      <c r="N143" s="29">
        <v>19388402542</v>
      </c>
      <c r="O143">
        <v>7803</v>
      </c>
      <c r="P143" s="27">
        <v>1.8000000000000001E-4</v>
      </c>
      <c r="Q143" s="32">
        <v>20867</v>
      </c>
      <c r="R143" s="13">
        <v>139100000</v>
      </c>
      <c r="S143" s="13">
        <v>260</v>
      </c>
      <c r="V143" s="7" t="s">
        <v>145</v>
      </c>
      <c r="W143" s="6" t="s">
        <v>627</v>
      </c>
      <c r="X143" s="6" t="s">
        <v>605</v>
      </c>
      <c r="Y143" s="14" t="s">
        <v>1074</v>
      </c>
      <c r="Z143" s="1" t="s">
        <v>1267</v>
      </c>
    </row>
    <row r="144" spans="1:26" ht="35" x14ac:dyDescent="0.2">
      <c r="A144" s="6">
        <v>143</v>
      </c>
      <c r="B144" s="6" t="s">
        <v>627</v>
      </c>
      <c r="C144" s="6" t="s">
        <v>606</v>
      </c>
      <c r="D144" s="14" t="s">
        <v>806</v>
      </c>
      <c r="E144" s="14" t="s">
        <v>1033</v>
      </c>
      <c r="F144" s="13">
        <v>267</v>
      </c>
      <c r="G144" s="1" t="s">
        <v>1268</v>
      </c>
      <c r="H144" s="7" t="s">
        <v>146</v>
      </c>
      <c r="I144" s="14" t="s">
        <v>650</v>
      </c>
      <c r="J144" s="8">
        <v>2562122</v>
      </c>
      <c r="K144" s="9">
        <v>3.1E-4</v>
      </c>
      <c r="L144" s="10">
        <v>566730</v>
      </c>
      <c r="M144" s="12">
        <v>5</v>
      </c>
      <c r="N144" s="29">
        <v>19396084498</v>
      </c>
      <c r="O144">
        <v>7820</v>
      </c>
      <c r="P144" s="27">
        <v>1.8000000000000001E-4</v>
      </c>
      <c r="Q144" s="32">
        <v>19401</v>
      </c>
      <c r="R144" s="13">
        <v>201300000</v>
      </c>
      <c r="S144" s="13">
        <v>247</v>
      </c>
      <c r="V144" s="7" t="s">
        <v>146</v>
      </c>
      <c r="W144" s="6" t="s">
        <v>627</v>
      </c>
      <c r="X144" s="6" t="s">
        <v>606</v>
      </c>
      <c r="Y144" s="14" t="s">
        <v>1033</v>
      </c>
      <c r="Z144" s="1" t="s">
        <v>1268</v>
      </c>
    </row>
    <row r="145" spans="1:26" ht="35" x14ac:dyDescent="0.2">
      <c r="A145" s="6">
        <v>144</v>
      </c>
      <c r="B145" s="6" t="s">
        <v>627</v>
      </c>
      <c r="C145" s="6" t="s">
        <v>606</v>
      </c>
      <c r="D145" s="14" t="s">
        <v>814</v>
      </c>
      <c r="E145" s="14" t="s">
        <v>1111</v>
      </c>
      <c r="F145" s="13">
        <v>266</v>
      </c>
      <c r="G145" s="1" t="s">
        <v>1269</v>
      </c>
      <c r="H145" s="7" t="s">
        <v>147</v>
      </c>
      <c r="I145" s="14" t="s">
        <v>718</v>
      </c>
      <c r="J145" s="8">
        <v>2363325</v>
      </c>
      <c r="K145" s="9">
        <v>2.9E-4</v>
      </c>
      <c r="L145" s="10">
        <v>30360</v>
      </c>
      <c r="M145" s="12">
        <v>78</v>
      </c>
      <c r="N145" s="29">
        <v>2117962451</v>
      </c>
      <c r="O145">
        <v>916</v>
      </c>
      <c r="P145" s="27">
        <v>2.0000000000000002E-5</v>
      </c>
      <c r="Q145" s="32">
        <v>2272</v>
      </c>
      <c r="R145" s="13">
        <v>43800000</v>
      </c>
      <c r="S145" s="13">
        <v>60</v>
      </c>
      <c r="V145" s="7" t="s">
        <v>147</v>
      </c>
      <c r="W145" s="6" t="s">
        <v>627</v>
      </c>
      <c r="X145" s="6" t="s">
        <v>606</v>
      </c>
      <c r="Y145" s="14" t="s">
        <v>1111</v>
      </c>
      <c r="Z145" s="1" t="s">
        <v>1269</v>
      </c>
    </row>
    <row r="146" spans="1:26" ht="35" x14ac:dyDescent="0.2">
      <c r="A146" s="6">
        <v>145</v>
      </c>
      <c r="B146" s="6" t="s">
        <v>627</v>
      </c>
      <c r="C146" s="6" t="s">
        <v>602</v>
      </c>
      <c r="D146" s="14" t="s">
        <v>844</v>
      </c>
      <c r="E146" s="14" t="s">
        <v>1084</v>
      </c>
      <c r="F146" s="13">
        <v>245</v>
      </c>
      <c r="G146" s="1" t="s">
        <v>1270</v>
      </c>
      <c r="H146" s="7" t="s">
        <v>148</v>
      </c>
      <c r="I146" s="14" t="s">
        <v>697</v>
      </c>
      <c r="J146" s="8">
        <v>2249515</v>
      </c>
      <c r="K146" s="9">
        <v>2.7E-4</v>
      </c>
      <c r="L146" s="10">
        <v>28120</v>
      </c>
      <c r="M146" s="12">
        <v>80</v>
      </c>
      <c r="N146" s="29">
        <v>2048348108</v>
      </c>
      <c r="O146">
        <v>951</v>
      </c>
      <c r="P146" s="27">
        <v>1.9000000000000001E-5</v>
      </c>
      <c r="Q146" s="32">
        <v>2120</v>
      </c>
      <c r="R146" s="13">
        <v>175000000</v>
      </c>
      <c r="S146" s="13">
        <v>388</v>
      </c>
      <c r="V146" s="7" t="s">
        <v>148</v>
      </c>
      <c r="W146" s="6" t="s">
        <v>627</v>
      </c>
      <c r="X146" s="6" t="s">
        <v>602</v>
      </c>
      <c r="Y146" s="14" t="s">
        <v>1084</v>
      </c>
      <c r="Z146" s="1" t="s">
        <v>1270</v>
      </c>
    </row>
    <row r="147" spans="1:26" ht="35" x14ac:dyDescent="0.2">
      <c r="A147" s="6">
        <v>146</v>
      </c>
      <c r="B147" s="6" t="s">
        <v>626</v>
      </c>
      <c r="C147" s="6" t="s">
        <v>616</v>
      </c>
      <c r="D147" s="14" t="s">
        <v>893</v>
      </c>
      <c r="E147" s="14" t="s">
        <v>1174</v>
      </c>
      <c r="F147" s="13">
        <v>386</v>
      </c>
      <c r="G147" s="1" t="s">
        <v>1271</v>
      </c>
      <c r="H147" s="7" t="s">
        <v>149</v>
      </c>
      <c r="I147" s="14" t="s">
        <v>770</v>
      </c>
      <c r="J147" s="8">
        <v>2117072</v>
      </c>
      <c r="K147" s="9">
        <v>2.5999999999999998E-4</v>
      </c>
      <c r="L147" s="10">
        <v>20140</v>
      </c>
      <c r="M147" s="12">
        <v>105</v>
      </c>
      <c r="N147" s="29">
        <v>69148468417</v>
      </c>
      <c r="O147">
        <v>32642</v>
      </c>
      <c r="P147" s="27">
        <v>6.4999999999999997E-4</v>
      </c>
      <c r="Q147" s="32">
        <v>72485</v>
      </c>
      <c r="R147" s="13">
        <v>887300000</v>
      </c>
      <c r="S147" s="13">
        <v>1179</v>
      </c>
      <c r="V147" s="7" t="s">
        <v>149</v>
      </c>
      <c r="W147" s="6" t="s">
        <v>626</v>
      </c>
      <c r="X147" s="6" t="s">
        <v>616</v>
      </c>
      <c r="Y147" s="14" t="s">
        <v>1174</v>
      </c>
      <c r="Z147" s="1" t="s">
        <v>1271</v>
      </c>
    </row>
    <row r="148" spans="1:26" ht="35" x14ac:dyDescent="0.2">
      <c r="A148" s="6">
        <v>147</v>
      </c>
      <c r="B148" s="6" t="s">
        <v>627</v>
      </c>
      <c r="C148" s="6" t="s">
        <v>605</v>
      </c>
      <c r="D148" s="14" t="s">
        <v>839</v>
      </c>
      <c r="E148" s="14" t="s">
        <v>1066</v>
      </c>
      <c r="F148" s="13">
        <v>240</v>
      </c>
      <c r="G148" s="1" t="s">
        <v>1272</v>
      </c>
      <c r="H148" s="7" t="s">
        <v>150</v>
      </c>
      <c r="I148" s="14" t="s">
        <v>680</v>
      </c>
      <c r="J148" s="8">
        <v>1938431</v>
      </c>
      <c r="K148" s="9">
        <v>2.4000000000000001E-4</v>
      </c>
      <c r="L148" s="10">
        <v>28050</v>
      </c>
      <c r="M148" s="12">
        <v>69</v>
      </c>
      <c r="N148" s="29">
        <v>12337550584</v>
      </c>
      <c r="O148">
        <v>6678</v>
      </c>
      <c r="P148" s="27">
        <v>1.2E-4</v>
      </c>
      <c r="Q148" s="32">
        <v>12766</v>
      </c>
      <c r="R148" s="13">
        <v>17400000</v>
      </c>
      <c r="S148" s="13">
        <v>68</v>
      </c>
      <c r="V148" s="7" t="s">
        <v>150</v>
      </c>
      <c r="W148" s="6" t="s">
        <v>627</v>
      </c>
      <c r="X148" s="6" t="s">
        <v>605</v>
      </c>
      <c r="Y148" s="14" t="s">
        <v>1066</v>
      </c>
      <c r="Z148" s="1" t="s">
        <v>1272</v>
      </c>
    </row>
    <row r="149" spans="1:26" ht="35" x14ac:dyDescent="0.2">
      <c r="A149" s="6">
        <v>148</v>
      </c>
      <c r="B149" s="6" t="s">
        <v>626</v>
      </c>
      <c r="C149" s="6" t="s">
        <v>615</v>
      </c>
      <c r="D149" s="14" t="s">
        <v>888</v>
      </c>
      <c r="E149" s="14" t="s">
        <v>1109</v>
      </c>
      <c r="F149" s="13">
        <v>371</v>
      </c>
      <c r="G149" s="1" t="s">
        <v>1273</v>
      </c>
      <c r="H149" s="7" t="s">
        <v>151</v>
      </c>
      <c r="I149" s="14" t="s">
        <v>716</v>
      </c>
      <c r="J149" s="8">
        <v>1853559</v>
      </c>
      <c r="K149" s="9">
        <v>2.3000000000000001E-4</v>
      </c>
      <c r="L149" s="10">
        <v>62200</v>
      </c>
      <c r="M149" s="12">
        <v>30</v>
      </c>
      <c r="N149" s="29">
        <v>42247850065</v>
      </c>
      <c r="O149">
        <v>22444</v>
      </c>
      <c r="P149" s="27">
        <v>4.0000000000000002E-4</v>
      </c>
      <c r="Q149" s="32">
        <v>43521</v>
      </c>
      <c r="R149" s="13">
        <v>224400000</v>
      </c>
      <c r="S149" s="13">
        <v>314</v>
      </c>
      <c r="V149" s="7" t="s">
        <v>151</v>
      </c>
      <c r="W149" s="6" t="s">
        <v>626</v>
      </c>
      <c r="X149" s="6" t="s">
        <v>615</v>
      </c>
      <c r="Y149" s="14" t="s">
        <v>1109</v>
      </c>
      <c r="Z149" s="1" t="s">
        <v>1273</v>
      </c>
    </row>
    <row r="150" spans="1:26" ht="35" x14ac:dyDescent="0.2">
      <c r="A150" s="6">
        <v>149</v>
      </c>
      <c r="B150" s="6" t="s">
        <v>626</v>
      </c>
      <c r="C150" s="6" t="s">
        <v>616</v>
      </c>
      <c r="D150" s="14" t="s">
        <v>981</v>
      </c>
      <c r="E150" s="14" t="s">
        <v>1144</v>
      </c>
      <c r="F150" s="13">
        <v>389</v>
      </c>
      <c r="G150" s="1" t="s">
        <v>1274</v>
      </c>
      <c r="H150" s="7" t="s">
        <v>152</v>
      </c>
      <c r="I150" s="14" t="s">
        <v>745</v>
      </c>
      <c r="J150" s="8">
        <v>1813791</v>
      </c>
      <c r="K150" s="9">
        <v>2.2000000000000001E-4</v>
      </c>
      <c r="L150" s="10">
        <v>25220</v>
      </c>
      <c r="M150" s="12">
        <v>72</v>
      </c>
      <c r="N150" s="29">
        <v>15763621848</v>
      </c>
      <c r="O150">
        <v>8606</v>
      </c>
      <c r="P150" s="27">
        <v>1.4999999999999999E-4</v>
      </c>
      <c r="Q150" s="32">
        <v>16685</v>
      </c>
      <c r="R150" s="13">
        <v>551200000</v>
      </c>
      <c r="S150" s="13">
        <v>725</v>
      </c>
      <c r="V150" s="7" t="s">
        <v>152</v>
      </c>
      <c r="W150" s="6" t="s">
        <v>626</v>
      </c>
      <c r="X150" s="6" t="s">
        <v>616</v>
      </c>
      <c r="Y150" s="14" t="s">
        <v>1144</v>
      </c>
      <c r="Z150" s="1" t="s">
        <v>1274</v>
      </c>
    </row>
    <row r="151" spans="1:26" ht="35" x14ac:dyDescent="0.2">
      <c r="A151" s="6">
        <v>150</v>
      </c>
      <c r="B151" s="6" t="s">
        <v>624</v>
      </c>
      <c r="C151" s="6" t="s">
        <v>610</v>
      </c>
      <c r="D151" s="14" t="s">
        <v>854</v>
      </c>
      <c r="E151" s="14" t="s">
        <v>1022</v>
      </c>
      <c r="F151" s="13">
        <v>973</v>
      </c>
      <c r="G151" s="1" t="s">
        <v>1275</v>
      </c>
      <c r="H151" s="7" t="s">
        <v>153</v>
      </c>
      <c r="I151" s="14" t="s">
        <v>642</v>
      </c>
      <c r="J151" s="8">
        <v>1643332</v>
      </c>
      <c r="K151" s="9">
        <v>2.0000000000000001E-4</v>
      </c>
      <c r="L151" s="6">
        <v>760</v>
      </c>
      <c r="M151" s="12">
        <v>2162</v>
      </c>
      <c r="N151" s="29">
        <v>46079867021</v>
      </c>
      <c r="O151">
        <v>29356</v>
      </c>
      <c r="P151" s="27">
        <v>4.2999999999999999E-4</v>
      </c>
      <c r="Q151" s="32">
        <v>47737</v>
      </c>
      <c r="R151" s="13">
        <v>434400000</v>
      </c>
      <c r="S151" s="13">
        <v>832</v>
      </c>
      <c r="V151" s="7" t="s">
        <v>153</v>
      </c>
      <c r="W151" s="6" t="s">
        <v>624</v>
      </c>
      <c r="X151" s="6" t="s">
        <v>610</v>
      </c>
      <c r="Y151" s="14" t="s">
        <v>1022</v>
      </c>
      <c r="Z151" s="1" t="s">
        <v>1275</v>
      </c>
    </row>
    <row r="152" spans="1:26" ht="35" x14ac:dyDescent="0.2">
      <c r="A152" s="6">
        <v>151</v>
      </c>
      <c r="B152" s="6" t="s">
        <v>628</v>
      </c>
      <c r="C152" s="6" t="s">
        <v>619</v>
      </c>
      <c r="D152" s="14" t="s">
        <v>882</v>
      </c>
      <c r="E152" s="14" t="s">
        <v>1197</v>
      </c>
      <c r="F152" s="13" t="s">
        <v>1196</v>
      </c>
      <c r="G152" s="1" t="s">
        <v>1276</v>
      </c>
      <c r="H152" s="7" t="s">
        <v>154</v>
      </c>
      <c r="I152" s="14" t="s">
        <v>785</v>
      </c>
      <c r="J152" s="8">
        <v>1511155</v>
      </c>
      <c r="K152" s="9">
        <v>1.8000000000000001E-4</v>
      </c>
      <c r="L152" s="10">
        <v>5130</v>
      </c>
      <c r="M152" s="12">
        <v>295</v>
      </c>
      <c r="N152" s="29">
        <v>27372285698</v>
      </c>
      <c r="O152">
        <v>18213</v>
      </c>
      <c r="P152" s="27">
        <v>2.5999999999999998E-4</v>
      </c>
      <c r="Q152" s="32">
        <v>26429</v>
      </c>
      <c r="R152" s="13">
        <v>383200000</v>
      </c>
      <c r="S152" s="13">
        <v>753</v>
      </c>
      <c r="V152" s="7" t="s">
        <v>154</v>
      </c>
      <c r="W152" s="6" t="s">
        <v>628</v>
      </c>
      <c r="X152" s="6" t="s">
        <v>619</v>
      </c>
      <c r="Y152" s="14" t="s">
        <v>1197</v>
      </c>
      <c r="Z152" s="1" t="s">
        <v>1276</v>
      </c>
    </row>
    <row r="153" spans="1:26" ht="35" x14ac:dyDescent="0.2">
      <c r="A153" s="6">
        <v>152</v>
      </c>
      <c r="B153" s="6" t="s">
        <v>624</v>
      </c>
      <c r="C153" s="6" t="s">
        <v>609</v>
      </c>
      <c r="D153" s="14" t="s">
        <v>947</v>
      </c>
      <c r="E153" s="14" t="s">
        <v>1193</v>
      </c>
      <c r="F153" s="13">
        <v>670</v>
      </c>
      <c r="G153" s="1" t="s">
        <v>1277</v>
      </c>
      <c r="H153" s="7" t="s">
        <v>155</v>
      </c>
      <c r="I153" s="14" t="s">
        <v>675</v>
      </c>
      <c r="J153" s="8">
        <v>1418517</v>
      </c>
      <c r="K153" s="9">
        <v>1.7000000000000001E-4</v>
      </c>
      <c r="L153" s="10">
        <v>14870</v>
      </c>
      <c r="M153" s="12">
        <v>95</v>
      </c>
      <c r="N153" s="29">
        <v>2079916900</v>
      </c>
      <c r="O153">
        <v>1503</v>
      </c>
      <c r="P153" s="27">
        <v>2.0000000000000002E-5</v>
      </c>
      <c r="Q153" s="32">
        <v>1881</v>
      </c>
      <c r="R153" s="13">
        <v>1172000000</v>
      </c>
      <c r="S153" s="13">
        <v>3456</v>
      </c>
      <c r="V153" s="7" t="s">
        <v>155</v>
      </c>
      <c r="W153" s="6" t="s">
        <v>624</v>
      </c>
      <c r="X153" s="6" t="s">
        <v>609</v>
      </c>
      <c r="Y153" s="14" t="s">
        <v>1193</v>
      </c>
      <c r="Z153" s="1" t="s">
        <v>1277</v>
      </c>
    </row>
    <row r="154" spans="1:26" ht="35" x14ac:dyDescent="0.2">
      <c r="A154" s="6">
        <v>153</v>
      </c>
      <c r="B154" s="6" t="s">
        <v>624</v>
      </c>
      <c r="C154" s="6" t="s">
        <v>610</v>
      </c>
      <c r="D154" s="14" t="s">
        <v>952</v>
      </c>
      <c r="E154" s="14" t="s">
        <v>1054</v>
      </c>
      <c r="F154" s="13">
        <v>357</v>
      </c>
      <c r="G154" s="1" t="s">
        <v>1278</v>
      </c>
      <c r="H154" s="7" t="s">
        <v>156</v>
      </c>
      <c r="I154" s="14" t="s">
        <v>670</v>
      </c>
      <c r="J154" s="8">
        <v>1370754</v>
      </c>
      <c r="K154" s="9">
        <v>1.7000000000000001E-4</v>
      </c>
      <c r="L154" s="10">
        <v>9240</v>
      </c>
      <c r="M154" s="12">
        <v>148</v>
      </c>
      <c r="N154" s="29">
        <v>33886930712</v>
      </c>
      <c r="O154">
        <v>25195</v>
      </c>
      <c r="P154" s="27">
        <v>3.2000000000000003E-4</v>
      </c>
      <c r="Q154" s="32">
        <v>36333</v>
      </c>
      <c r="R154" s="13">
        <v>317000000</v>
      </c>
      <c r="S154" s="13">
        <v>702</v>
      </c>
      <c r="V154" s="7" t="s">
        <v>156</v>
      </c>
      <c r="W154" s="6" t="s">
        <v>624</v>
      </c>
      <c r="X154" s="6" t="s">
        <v>610</v>
      </c>
      <c r="Y154" s="14" t="s">
        <v>1054</v>
      </c>
      <c r="Z154" s="1" t="s">
        <v>1278</v>
      </c>
    </row>
    <row r="155" spans="1:26" ht="35" x14ac:dyDescent="0.2">
      <c r="A155" s="6">
        <v>154</v>
      </c>
      <c r="B155" s="6" t="s">
        <v>626</v>
      </c>
      <c r="C155" s="6" t="s">
        <v>615</v>
      </c>
      <c r="D155" s="14" t="s">
        <v>886</v>
      </c>
      <c r="E155" s="14" t="s">
        <v>1068</v>
      </c>
      <c r="F155" s="13">
        <v>372</v>
      </c>
      <c r="G155" s="1" t="s">
        <v>1279</v>
      </c>
      <c r="H155" s="7" t="s">
        <v>157</v>
      </c>
      <c r="I155" s="14" t="s">
        <v>682</v>
      </c>
      <c r="J155" s="8">
        <v>1344232</v>
      </c>
      <c r="K155" s="9">
        <v>1.6000000000000001E-4</v>
      </c>
      <c r="L155" s="10">
        <v>42390</v>
      </c>
      <c r="M155" s="12">
        <v>32</v>
      </c>
      <c r="N155" s="29">
        <v>41291245222</v>
      </c>
      <c r="O155">
        <v>30201</v>
      </c>
      <c r="P155" s="27">
        <v>3.8999999999999999E-4</v>
      </c>
      <c r="Q155" s="32">
        <v>42765</v>
      </c>
      <c r="R155" s="13">
        <v>1720000000</v>
      </c>
      <c r="S155" s="13">
        <v>3585</v>
      </c>
      <c r="V155" s="7" t="s">
        <v>157</v>
      </c>
      <c r="W155" s="6" t="s">
        <v>626</v>
      </c>
      <c r="X155" s="6" t="s">
        <v>615</v>
      </c>
      <c r="Y155" s="14" t="s">
        <v>1068</v>
      </c>
      <c r="Z155" s="1" t="s">
        <v>1279</v>
      </c>
    </row>
    <row r="156" spans="1:26" ht="35" x14ac:dyDescent="0.2">
      <c r="A156" s="6">
        <v>155</v>
      </c>
      <c r="B156" s="6" t="s">
        <v>627</v>
      </c>
      <c r="C156" s="6" t="s">
        <v>603</v>
      </c>
      <c r="D156" s="14" t="s">
        <v>817</v>
      </c>
      <c r="E156" s="14" t="s">
        <v>1125</v>
      </c>
      <c r="F156" s="13">
        <v>230</v>
      </c>
      <c r="G156" s="1" t="s">
        <v>547</v>
      </c>
      <c r="H156" s="7" t="s">
        <v>158</v>
      </c>
      <c r="I156" s="14" t="s">
        <v>730</v>
      </c>
      <c r="J156" s="8">
        <v>1268280</v>
      </c>
      <c r="K156" s="9">
        <v>1.4999999999999999E-4</v>
      </c>
      <c r="L156" s="10">
        <v>2030</v>
      </c>
      <c r="M156" s="12">
        <v>625</v>
      </c>
      <c r="N156" s="29">
        <v>14644524819</v>
      </c>
      <c r="O156">
        <v>11499</v>
      </c>
      <c r="P156" s="27">
        <v>1.3999999999999999E-4</v>
      </c>
      <c r="Q156" s="32">
        <v>14953</v>
      </c>
      <c r="R156" s="13">
        <v>725000000</v>
      </c>
      <c r="S156" s="13">
        <v>1599</v>
      </c>
      <c r="V156" s="7" t="s">
        <v>158</v>
      </c>
      <c r="W156" s="6" t="s">
        <v>627</v>
      </c>
      <c r="X156" s="6" t="s">
        <v>603</v>
      </c>
      <c r="Y156" s="14" t="s">
        <v>1125</v>
      </c>
      <c r="Z156" s="1" t="s">
        <v>547</v>
      </c>
    </row>
    <row r="157" spans="1:26" ht="35" x14ac:dyDescent="0.2">
      <c r="A157" s="6">
        <v>156</v>
      </c>
      <c r="B157" s="6" t="s">
        <v>627</v>
      </c>
      <c r="C157" s="6" t="s">
        <v>606</v>
      </c>
      <c r="D157" s="14" t="s">
        <v>811</v>
      </c>
      <c r="E157" s="14" t="s">
        <v>1069</v>
      </c>
      <c r="F157" s="13">
        <v>268</v>
      </c>
      <c r="G157" s="1" t="s">
        <v>1280</v>
      </c>
      <c r="H157" s="7" t="s">
        <v>159</v>
      </c>
      <c r="I157" s="14" t="s">
        <v>800</v>
      </c>
      <c r="J157" s="8">
        <v>1256174</v>
      </c>
      <c r="K157" s="9">
        <v>1.4999999999999999E-4</v>
      </c>
      <c r="L157" s="10">
        <v>17200</v>
      </c>
      <c r="M157" s="12">
        <v>73</v>
      </c>
      <c r="N157" s="29">
        <v>4442875788</v>
      </c>
      <c r="O157">
        <v>3611</v>
      </c>
      <c r="P157" s="27">
        <v>4.1999999999999998E-5</v>
      </c>
      <c r="Q157" s="32">
        <v>4892</v>
      </c>
      <c r="R157" s="13">
        <v>1042000000</v>
      </c>
      <c r="S157" s="13">
        <v>2741</v>
      </c>
      <c r="V157" s="7" t="s">
        <v>159</v>
      </c>
      <c r="W157" s="6" t="s">
        <v>627</v>
      </c>
      <c r="X157" s="6" t="s">
        <v>606</v>
      </c>
      <c r="Y157" s="14" t="s">
        <v>1069</v>
      </c>
      <c r="Z157" s="1" t="s">
        <v>1280</v>
      </c>
    </row>
    <row r="158" spans="1:26" ht="35" x14ac:dyDescent="0.2">
      <c r="A158" s="6">
        <v>157</v>
      </c>
      <c r="B158" s="6" t="s">
        <v>627</v>
      </c>
      <c r="C158" s="6" t="s">
        <v>603</v>
      </c>
      <c r="D158" s="14" t="s">
        <v>855</v>
      </c>
      <c r="E158" s="14" t="s">
        <v>1057</v>
      </c>
      <c r="F158" s="13">
        <v>253</v>
      </c>
      <c r="G158" s="1" t="s">
        <v>1281</v>
      </c>
      <c r="H158" s="7" t="s">
        <v>160</v>
      </c>
      <c r="I158" s="14" t="s">
        <v>160</v>
      </c>
      <c r="J158" s="8">
        <v>1184076</v>
      </c>
      <c r="K158" s="9">
        <v>1.3999999999999999E-4</v>
      </c>
      <c r="L158" s="10">
        <v>23180</v>
      </c>
      <c r="M158" s="12">
        <v>51</v>
      </c>
      <c r="N158" s="29" t="e">
        <v>#N/A</v>
      </c>
      <c r="O158" t="e">
        <v>#N/A</v>
      </c>
      <c r="P158" s="27" t="e">
        <v>#N/A</v>
      </c>
      <c r="Q158" s="32">
        <v>4086</v>
      </c>
      <c r="R158" s="13">
        <v>19000000</v>
      </c>
      <c r="S158" s="13">
        <v>70</v>
      </c>
      <c r="V158" s="7" t="s">
        <v>160</v>
      </c>
      <c r="W158" s="6" t="s">
        <v>627</v>
      </c>
      <c r="X158" s="6" t="s">
        <v>603</v>
      </c>
      <c r="Y158" s="14" t="s">
        <v>1057</v>
      </c>
      <c r="Z158" s="1" t="s">
        <v>1281</v>
      </c>
    </row>
    <row r="159" spans="1:26" ht="35" x14ac:dyDescent="0.2">
      <c r="A159" s="6">
        <v>158</v>
      </c>
      <c r="B159" s="6" t="s">
        <v>628</v>
      </c>
      <c r="C159" s="6" t="s">
        <v>621</v>
      </c>
      <c r="D159" s="14" t="s">
        <v>935</v>
      </c>
      <c r="E159" s="14" t="s">
        <v>1071</v>
      </c>
      <c r="F159" s="13">
        <v>679</v>
      </c>
      <c r="G159" s="1" t="s">
        <v>1282</v>
      </c>
      <c r="H159" s="7" t="s">
        <v>161</v>
      </c>
      <c r="I159" s="14" t="s">
        <v>685</v>
      </c>
      <c r="J159" s="8">
        <v>933154</v>
      </c>
      <c r="K159" s="9">
        <v>1.1E-4</v>
      </c>
      <c r="L159" s="10">
        <v>18270</v>
      </c>
      <c r="M159" s="12">
        <v>51</v>
      </c>
      <c r="N159" s="29">
        <v>5442046565</v>
      </c>
      <c r="O159">
        <v>5889</v>
      </c>
      <c r="P159" s="27">
        <v>5.1E-5</v>
      </c>
      <c r="Q159" s="32">
        <v>5841</v>
      </c>
      <c r="R159" s="13">
        <v>84900000</v>
      </c>
      <c r="S159" s="13">
        <v>264</v>
      </c>
      <c r="V159" s="7" t="s">
        <v>161</v>
      </c>
      <c r="W159" s="6" t="s">
        <v>628</v>
      </c>
      <c r="X159" s="6" t="s">
        <v>621</v>
      </c>
      <c r="Y159" s="14" t="s">
        <v>1071</v>
      </c>
      <c r="Z159" s="1" t="s">
        <v>1282</v>
      </c>
    </row>
    <row r="160" spans="1:26" ht="35" x14ac:dyDescent="0.2">
      <c r="A160" s="6">
        <v>159</v>
      </c>
      <c r="B160" s="6" t="s">
        <v>627</v>
      </c>
      <c r="C160" s="6" t="s">
        <v>603</v>
      </c>
      <c r="D160" s="14" t="s">
        <v>808</v>
      </c>
      <c r="E160" s="14" t="s">
        <v>1048</v>
      </c>
      <c r="F160" s="13">
        <v>269</v>
      </c>
      <c r="G160" s="1" t="s">
        <v>1283</v>
      </c>
      <c r="H160" s="7" t="s">
        <v>162</v>
      </c>
      <c r="I160" s="14" t="s">
        <v>664</v>
      </c>
      <c r="J160" s="8">
        <v>882847</v>
      </c>
      <c r="K160" s="9">
        <v>1.1E-4</v>
      </c>
      <c r="L160" s="10">
        <v>1861</v>
      </c>
      <c r="M160" s="12">
        <v>474</v>
      </c>
      <c r="N160" s="29">
        <v>1352380971</v>
      </c>
      <c r="O160">
        <v>1590</v>
      </c>
      <c r="P160" s="27">
        <v>1.2999999999999999E-5</v>
      </c>
      <c r="Q160" s="32">
        <v>1546</v>
      </c>
      <c r="R160" s="13">
        <v>10000000</v>
      </c>
      <c r="S160" s="13">
        <v>52</v>
      </c>
      <c r="V160" s="7" t="s">
        <v>162</v>
      </c>
      <c r="W160" s="6" t="s">
        <v>627</v>
      </c>
      <c r="X160" s="6" t="s">
        <v>603</v>
      </c>
      <c r="Y160" s="14" t="s">
        <v>1048</v>
      </c>
      <c r="Z160" s="1" t="s">
        <v>1283</v>
      </c>
    </row>
    <row r="161" spans="1:26" ht="35" x14ac:dyDescent="0.2">
      <c r="A161" s="6">
        <v>160</v>
      </c>
      <c r="B161" s="6" t="s">
        <v>628</v>
      </c>
      <c r="C161" s="6" t="s">
        <v>621</v>
      </c>
      <c r="D161" s="14" t="s">
        <v>924</v>
      </c>
      <c r="E161" s="14" t="s">
        <v>1175</v>
      </c>
      <c r="F161" s="13">
        <v>677</v>
      </c>
      <c r="G161" s="1" t="s">
        <v>1284</v>
      </c>
      <c r="H161" s="7" t="s">
        <v>163</v>
      </c>
      <c r="I161" s="14" t="s">
        <v>771</v>
      </c>
      <c r="J161" s="8">
        <v>838645</v>
      </c>
      <c r="K161" s="9">
        <v>1E-4</v>
      </c>
      <c r="L161" s="10">
        <v>27990</v>
      </c>
      <c r="M161" s="12">
        <v>30</v>
      </c>
      <c r="N161" s="29">
        <v>1633319401</v>
      </c>
      <c r="O161">
        <v>2042</v>
      </c>
      <c r="P161" s="27">
        <v>1.5E-5</v>
      </c>
      <c r="Q161" s="32">
        <v>1761</v>
      </c>
      <c r="R161" s="13" t="e">
        <v>#N/A</v>
      </c>
      <c r="S161" s="13" t="e">
        <v>#N/A</v>
      </c>
      <c r="V161" s="7" t="s">
        <v>163</v>
      </c>
      <c r="W161" s="6" t="s">
        <v>628</v>
      </c>
      <c r="X161" s="6" t="s">
        <v>621</v>
      </c>
      <c r="Y161" s="14" t="s">
        <v>1175</v>
      </c>
      <c r="Z161" s="1" t="s">
        <v>1284</v>
      </c>
    </row>
    <row r="162" spans="1:26" ht="35" x14ac:dyDescent="0.2">
      <c r="A162" s="6">
        <v>161</v>
      </c>
      <c r="B162" s="6" t="s">
        <v>625</v>
      </c>
      <c r="C162" s="6" t="s">
        <v>617</v>
      </c>
      <c r="D162" s="14" t="s">
        <v>877</v>
      </c>
      <c r="E162" s="14" t="s">
        <v>1085</v>
      </c>
      <c r="F162" s="13">
        <v>592</v>
      </c>
      <c r="G162" s="1" t="s">
        <v>1285</v>
      </c>
      <c r="H162" s="7" t="s">
        <v>164</v>
      </c>
      <c r="I162" s="14" t="s">
        <v>698</v>
      </c>
      <c r="J162" s="8">
        <v>835986</v>
      </c>
      <c r="K162" s="9">
        <v>1E-4</v>
      </c>
      <c r="L162" s="10">
        <v>196850</v>
      </c>
      <c r="M162" s="12">
        <v>4</v>
      </c>
      <c r="N162" s="29">
        <v>17159509565</v>
      </c>
      <c r="O162">
        <v>20765</v>
      </c>
      <c r="P162" s="27">
        <v>1.6000000000000001E-4</v>
      </c>
      <c r="Q162" s="32">
        <v>24836</v>
      </c>
      <c r="R162" s="13">
        <v>1445000000</v>
      </c>
      <c r="S162" s="13">
        <v>5284</v>
      </c>
      <c r="V162" s="7" t="s">
        <v>164</v>
      </c>
      <c r="W162" s="6" t="s">
        <v>625</v>
      </c>
      <c r="X162" s="6" t="s">
        <v>617</v>
      </c>
      <c r="Y162" s="14" t="s">
        <v>1085</v>
      </c>
      <c r="Z162" s="1" t="s">
        <v>1285</v>
      </c>
    </row>
    <row r="163" spans="1:26" ht="35" x14ac:dyDescent="0.2">
      <c r="A163" s="6">
        <v>162</v>
      </c>
      <c r="B163" s="6" t="s">
        <v>624</v>
      </c>
      <c r="C163" s="6" t="s">
        <v>607</v>
      </c>
      <c r="D163" s="14" t="s">
        <v>896</v>
      </c>
      <c r="E163" s="14" t="s">
        <v>1030</v>
      </c>
      <c r="F163" s="13">
        <v>975</v>
      </c>
      <c r="G163" s="1" t="s">
        <v>1286</v>
      </c>
      <c r="H163" s="7" t="s">
        <v>165</v>
      </c>
      <c r="I163" s="14" t="s">
        <v>648</v>
      </c>
      <c r="J163" s="8">
        <v>796682</v>
      </c>
      <c r="K163" s="9">
        <v>9.7E-5</v>
      </c>
      <c r="L163" s="10">
        <v>38117</v>
      </c>
      <c r="M163" s="12">
        <v>21</v>
      </c>
      <c r="N163" s="29" t="e">
        <v>#N/A</v>
      </c>
      <c r="O163" t="e">
        <v>#N/A</v>
      </c>
      <c r="P163" s="27" t="e">
        <v>#N/A</v>
      </c>
      <c r="Q163" s="32">
        <v>3019</v>
      </c>
      <c r="R163" s="13">
        <v>338000000</v>
      </c>
      <c r="S163" s="13">
        <v>1349</v>
      </c>
      <c r="V163" s="7" t="s">
        <v>165</v>
      </c>
      <c r="W163" s="6" t="s">
        <v>624</v>
      </c>
      <c r="X163" s="6" t="s">
        <v>607</v>
      </c>
      <c r="Y163" s="14" t="s">
        <v>1030</v>
      </c>
      <c r="Z163" s="1" t="s">
        <v>1286</v>
      </c>
    </row>
    <row r="164" spans="1:26" ht="35" x14ac:dyDescent="0.2">
      <c r="A164" s="6">
        <v>163</v>
      </c>
      <c r="B164" s="6" t="s">
        <v>626</v>
      </c>
      <c r="C164" s="6" t="s">
        <v>614</v>
      </c>
      <c r="D164" s="14" t="s">
        <v>959</v>
      </c>
      <c r="E164" s="14" t="s">
        <v>1116</v>
      </c>
      <c r="F164" s="13">
        <v>352</v>
      </c>
      <c r="G164" s="1" t="s">
        <v>1287</v>
      </c>
      <c r="H164" s="7" t="s">
        <v>166</v>
      </c>
      <c r="I164" s="14" t="s">
        <v>166</v>
      </c>
      <c r="J164" s="8">
        <v>680453</v>
      </c>
      <c r="K164" s="9">
        <v>8.2999999999999998E-5</v>
      </c>
      <c r="L164" s="10">
        <v>2590</v>
      </c>
      <c r="M164" s="12">
        <v>263</v>
      </c>
      <c r="N164" s="29">
        <v>85755006124</v>
      </c>
      <c r="O164">
        <v>128936</v>
      </c>
      <c r="P164" s="27">
        <v>8.0999999999999996E-4</v>
      </c>
      <c r="Q164" s="32">
        <v>93197</v>
      </c>
      <c r="R164" s="13">
        <v>44000000</v>
      </c>
      <c r="S164" s="13">
        <v>207</v>
      </c>
      <c r="V164" s="7" t="s">
        <v>166</v>
      </c>
      <c r="W164" s="6" t="s">
        <v>626</v>
      </c>
      <c r="X164" s="6" t="s">
        <v>614</v>
      </c>
      <c r="Y164" s="14" t="s">
        <v>1116</v>
      </c>
      <c r="Z164" s="1" t="s">
        <v>1287</v>
      </c>
    </row>
    <row r="165" spans="1:26" ht="35" x14ac:dyDescent="0.2">
      <c r="A165" s="6">
        <v>164</v>
      </c>
      <c r="B165" s="6" t="s">
        <v>625</v>
      </c>
      <c r="C165" s="6" t="s">
        <v>617</v>
      </c>
      <c r="D165" s="14" t="s">
        <v>881</v>
      </c>
      <c r="E165" s="14" t="s">
        <v>1186</v>
      </c>
      <c r="F165" s="13">
        <v>597</v>
      </c>
      <c r="G165" s="1" t="s">
        <v>1288</v>
      </c>
      <c r="H165" s="7" t="s">
        <v>167</v>
      </c>
      <c r="I165" s="14" t="s">
        <v>777</v>
      </c>
      <c r="J165" s="8">
        <v>639850</v>
      </c>
      <c r="K165" s="9">
        <v>7.7999999999999999E-5</v>
      </c>
      <c r="L165" s="10">
        <v>156000</v>
      </c>
      <c r="M165" s="12">
        <v>4</v>
      </c>
      <c r="N165" s="29">
        <v>3455146281</v>
      </c>
      <c r="O165">
        <v>5494</v>
      </c>
      <c r="P165" s="27">
        <v>3.3000000000000003E-5</v>
      </c>
      <c r="Q165" s="32">
        <v>4714</v>
      </c>
      <c r="R165" s="13">
        <v>615900000</v>
      </c>
      <c r="S165" s="13">
        <v>3214</v>
      </c>
      <c r="V165" s="7" t="s">
        <v>167</v>
      </c>
      <c r="W165" s="6" t="s">
        <v>625</v>
      </c>
      <c r="X165" s="6" t="s">
        <v>617</v>
      </c>
      <c r="Y165" s="14" t="s">
        <v>1186</v>
      </c>
      <c r="Z165" s="1" t="s">
        <v>1288</v>
      </c>
    </row>
    <row r="166" spans="1:26" ht="35" x14ac:dyDescent="0.2">
      <c r="A166" s="6">
        <v>165</v>
      </c>
      <c r="B166" s="6" t="s">
        <v>626</v>
      </c>
      <c r="C166" s="6" t="s">
        <v>616</v>
      </c>
      <c r="D166" s="14" t="s">
        <v>980</v>
      </c>
      <c r="E166" s="14" t="s">
        <v>1131</v>
      </c>
      <c r="F166" s="13">
        <v>382</v>
      </c>
      <c r="G166" s="1" t="s">
        <v>1289</v>
      </c>
      <c r="H166" s="7" t="s">
        <v>168</v>
      </c>
      <c r="I166" s="14" t="s">
        <v>734</v>
      </c>
      <c r="J166" s="8">
        <v>632729</v>
      </c>
      <c r="K166" s="9">
        <v>7.7000000000000001E-5</v>
      </c>
      <c r="L166" s="10">
        <v>13450</v>
      </c>
      <c r="M166" s="12">
        <v>47</v>
      </c>
      <c r="N166" s="29">
        <v>7530593375</v>
      </c>
      <c r="O166">
        <v>11886</v>
      </c>
      <c r="P166" s="27">
        <v>7.1000000000000005E-5</v>
      </c>
      <c r="Q166" s="32">
        <v>8070</v>
      </c>
      <c r="R166" s="13">
        <v>160900000</v>
      </c>
      <c r="S166" s="13">
        <v>697</v>
      </c>
      <c r="V166" s="7" t="s">
        <v>168</v>
      </c>
      <c r="W166" s="6" t="s">
        <v>626</v>
      </c>
      <c r="X166" s="6" t="s">
        <v>616</v>
      </c>
      <c r="Y166" s="14" t="s">
        <v>1131</v>
      </c>
      <c r="Z166" s="1" t="s">
        <v>1289</v>
      </c>
    </row>
    <row r="167" spans="1:26" ht="35" x14ac:dyDescent="0.2">
      <c r="A167" s="6">
        <v>166</v>
      </c>
      <c r="B167" s="6" t="s">
        <v>626</v>
      </c>
      <c r="C167" s="6" t="s">
        <v>616</v>
      </c>
      <c r="D167" s="14" t="s">
        <v>960</v>
      </c>
      <c r="E167" s="14" t="s">
        <v>1122</v>
      </c>
      <c r="F167" s="13">
        <v>356</v>
      </c>
      <c r="G167" s="1" t="s">
        <v>544</v>
      </c>
      <c r="H167" s="7" t="s">
        <v>169</v>
      </c>
      <c r="I167" s="14" t="s">
        <v>727</v>
      </c>
      <c r="J167" s="8">
        <v>545405</v>
      </c>
      <c r="K167" s="9">
        <v>6.6000000000000005E-5</v>
      </c>
      <c r="L167" s="6">
        <v>320</v>
      </c>
      <c r="M167" s="12">
        <v>1704</v>
      </c>
      <c r="N167" s="29">
        <v>22328640242</v>
      </c>
      <c r="O167">
        <v>41896</v>
      </c>
      <c r="P167" s="27">
        <v>2.1000000000000001E-4</v>
      </c>
      <c r="Q167" s="32">
        <v>24322</v>
      </c>
      <c r="R167" s="13">
        <v>62800000</v>
      </c>
      <c r="S167" s="13">
        <v>378</v>
      </c>
      <c r="V167" s="7" t="s">
        <v>169</v>
      </c>
      <c r="W167" s="6" t="s">
        <v>626</v>
      </c>
      <c r="X167" s="6" t="s">
        <v>616</v>
      </c>
      <c r="Y167" s="14" t="s">
        <v>1122</v>
      </c>
      <c r="Z167" s="1" t="s">
        <v>544</v>
      </c>
    </row>
    <row r="168" spans="1:26" ht="35" x14ac:dyDescent="0.2">
      <c r="A168" s="6">
        <v>167</v>
      </c>
      <c r="B168" s="6" t="s">
        <v>624</v>
      </c>
      <c r="C168" s="6" t="s">
        <v>607</v>
      </c>
      <c r="D168" s="14" t="s">
        <v>911</v>
      </c>
      <c r="E168" s="14" t="s">
        <v>1120</v>
      </c>
      <c r="F168" s="13">
        <v>960</v>
      </c>
      <c r="G168" s="1" t="s">
        <v>545</v>
      </c>
      <c r="H168" s="7" t="s">
        <v>170</v>
      </c>
      <c r="I168" s="14" t="s">
        <v>725</v>
      </c>
      <c r="J168" s="8">
        <v>529676</v>
      </c>
      <c r="K168" s="9">
        <v>6.3999999999999997E-5</v>
      </c>
      <c r="L168" s="6">
        <v>300</v>
      </c>
      <c r="M168" s="12">
        <v>1766</v>
      </c>
      <c r="N168" s="29">
        <v>6590894302</v>
      </c>
      <c r="O168">
        <v>12530</v>
      </c>
      <c r="P168" s="27">
        <v>6.2000000000000003E-5</v>
      </c>
      <c r="Q168" s="32">
        <v>6975</v>
      </c>
      <c r="R168" s="13">
        <v>5900000</v>
      </c>
      <c r="S168" s="13">
        <v>48</v>
      </c>
      <c r="V168" s="7" t="s">
        <v>170</v>
      </c>
      <c r="W168" s="6" t="s">
        <v>624</v>
      </c>
      <c r="X168" s="6" t="s">
        <v>607</v>
      </c>
      <c r="Y168" s="14" t="s">
        <v>1120</v>
      </c>
      <c r="Z168" s="1" t="s">
        <v>545</v>
      </c>
    </row>
    <row r="169" spans="1:26" ht="35" x14ac:dyDescent="0.2">
      <c r="A169" s="6">
        <v>168</v>
      </c>
      <c r="B169" s="6" t="s">
        <v>627</v>
      </c>
      <c r="C169" s="6" t="s">
        <v>602</v>
      </c>
      <c r="D169" s="14" t="s">
        <v>833</v>
      </c>
      <c r="E169" s="14" t="s">
        <v>1039</v>
      </c>
      <c r="F169" s="13">
        <v>238</v>
      </c>
      <c r="G169" s="1" t="s">
        <v>1290</v>
      </c>
      <c r="H169" s="7" t="s">
        <v>171</v>
      </c>
      <c r="I169" s="14" t="s">
        <v>658</v>
      </c>
      <c r="J169" s="8">
        <v>527326</v>
      </c>
      <c r="K169" s="9">
        <v>6.3999999999999997E-5</v>
      </c>
      <c r="L169" s="10">
        <v>4030</v>
      </c>
      <c r="M169" s="12">
        <v>131</v>
      </c>
      <c r="N169" s="29">
        <v>2533819406</v>
      </c>
      <c r="O169">
        <v>4851</v>
      </c>
      <c r="P169" s="27">
        <v>2.4000000000000001E-5</v>
      </c>
      <c r="Q169" s="32">
        <v>2768</v>
      </c>
      <c r="R169" s="13">
        <v>22000000</v>
      </c>
      <c r="S169" s="13">
        <v>131</v>
      </c>
      <c r="V169" s="7" t="s">
        <v>171</v>
      </c>
      <c r="W169" s="6" t="s">
        <v>627</v>
      </c>
      <c r="X169" s="6" t="s">
        <v>602</v>
      </c>
      <c r="Y169" s="14" t="s">
        <v>1039</v>
      </c>
      <c r="Z169" s="1" t="s">
        <v>1290</v>
      </c>
    </row>
    <row r="170" spans="1:26" ht="35" x14ac:dyDescent="0.2">
      <c r="A170" s="6">
        <v>169</v>
      </c>
      <c r="B170" s="6" t="s">
        <v>628</v>
      </c>
      <c r="C170" s="6" t="s">
        <v>612</v>
      </c>
      <c r="D170" s="14" t="s">
        <v>933</v>
      </c>
      <c r="E170" s="14" t="s">
        <v>1035</v>
      </c>
      <c r="F170" s="13">
        <v>673</v>
      </c>
      <c r="G170" s="1" t="s">
        <v>1291</v>
      </c>
      <c r="H170" s="7" t="s">
        <v>172</v>
      </c>
      <c r="I170" s="14" t="s">
        <v>652</v>
      </c>
      <c r="J170" s="8">
        <v>466330</v>
      </c>
      <c r="K170" s="9">
        <v>5.7000000000000003E-5</v>
      </c>
      <c r="L170" s="10">
        <v>5270</v>
      </c>
      <c r="M170" s="12">
        <v>88</v>
      </c>
      <c r="N170" s="29">
        <v>15128292981</v>
      </c>
      <c r="O170">
        <v>32963</v>
      </c>
      <c r="P170" s="27">
        <v>1.3999999999999999E-4</v>
      </c>
      <c r="Q170" s="32">
        <v>15463</v>
      </c>
      <c r="R170" s="13">
        <v>92000000</v>
      </c>
      <c r="S170" s="13">
        <v>887</v>
      </c>
      <c r="V170" s="7" t="s">
        <v>172</v>
      </c>
      <c r="W170" s="6" t="s">
        <v>628</v>
      </c>
      <c r="X170" s="6" t="s">
        <v>612</v>
      </c>
      <c r="Y170" s="14" t="s">
        <v>1035</v>
      </c>
      <c r="Z170" s="1" t="s">
        <v>1291</v>
      </c>
    </row>
    <row r="171" spans="1:26" ht="35" x14ac:dyDescent="0.2">
      <c r="A171" s="6">
        <v>170</v>
      </c>
      <c r="B171" s="6" t="s">
        <v>625</v>
      </c>
      <c r="C171" s="6" t="s">
        <v>618</v>
      </c>
      <c r="D171" s="14" t="s">
        <v>874</v>
      </c>
      <c r="E171" s="14" t="s">
        <v>1028</v>
      </c>
      <c r="F171" s="13">
        <v>501</v>
      </c>
      <c r="G171" s="1" t="s">
        <v>1292</v>
      </c>
      <c r="H171" s="7" t="s">
        <v>173</v>
      </c>
      <c r="I171" s="14" t="s">
        <v>647</v>
      </c>
      <c r="J171" s="8">
        <v>422924</v>
      </c>
      <c r="K171" s="9">
        <v>5.1E-5</v>
      </c>
      <c r="L171" s="10">
        <v>22810</v>
      </c>
      <c r="M171" s="12">
        <v>19</v>
      </c>
      <c r="N171" s="29">
        <v>3066850000</v>
      </c>
      <c r="O171">
        <v>7460</v>
      </c>
      <c r="P171" s="27">
        <v>2.9E-5</v>
      </c>
      <c r="Q171" s="32">
        <v>3516</v>
      </c>
      <c r="R171" s="13">
        <v>101000000</v>
      </c>
      <c r="S171" s="13">
        <v>1149</v>
      </c>
      <c r="V171" s="7" t="s">
        <v>173</v>
      </c>
      <c r="W171" s="6" t="s">
        <v>625</v>
      </c>
      <c r="X171" s="6" t="s">
        <v>618</v>
      </c>
      <c r="Y171" s="14" t="s">
        <v>1028</v>
      </c>
      <c r="Z171" s="1" t="s">
        <v>1292</v>
      </c>
    </row>
    <row r="172" spans="1:26" ht="35" x14ac:dyDescent="0.2">
      <c r="A172" s="6">
        <v>171</v>
      </c>
      <c r="B172" s="6" t="s">
        <v>628</v>
      </c>
      <c r="C172" s="6" t="s">
        <v>619</v>
      </c>
      <c r="D172" s="14" t="s">
        <v>872</v>
      </c>
      <c r="E172" s="14" t="s">
        <v>1021</v>
      </c>
      <c r="F172" s="13" t="s">
        <v>1020</v>
      </c>
      <c r="G172" s="1" t="s">
        <v>1293</v>
      </c>
      <c r="H172" s="7" t="s">
        <v>174</v>
      </c>
      <c r="I172" s="14" t="s">
        <v>641</v>
      </c>
      <c r="J172" s="8">
        <v>403033</v>
      </c>
      <c r="K172" s="9">
        <v>4.8999999999999998E-5</v>
      </c>
      <c r="L172" s="10">
        <v>10010</v>
      </c>
      <c r="M172" s="12">
        <v>40</v>
      </c>
      <c r="N172" s="29">
        <v>14338500000</v>
      </c>
      <c r="O172">
        <v>35897</v>
      </c>
      <c r="P172" s="27">
        <v>1.3999999999999999E-4</v>
      </c>
      <c r="Q172" s="32">
        <v>15833</v>
      </c>
      <c r="R172" s="13" t="e">
        <v>#N/A</v>
      </c>
      <c r="S172" s="13" t="e">
        <v>#N/A</v>
      </c>
      <c r="V172" s="7" t="s">
        <v>174</v>
      </c>
      <c r="W172" s="6" t="s">
        <v>628</v>
      </c>
      <c r="X172" s="6" t="s">
        <v>619</v>
      </c>
      <c r="Y172" s="14" t="s">
        <v>1021</v>
      </c>
      <c r="Z172" s="1" t="s">
        <v>1293</v>
      </c>
    </row>
    <row r="173" spans="1:26" ht="35" x14ac:dyDescent="0.2">
      <c r="A173" s="6">
        <v>172</v>
      </c>
      <c r="B173" s="6" t="s">
        <v>626</v>
      </c>
      <c r="C173" s="6" t="s">
        <v>615</v>
      </c>
      <c r="D173" s="14" t="s">
        <v>973</v>
      </c>
      <c r="E173" s="14" t="s">
        <v>1091</v>
      </c>
      <c r="F173" s="13">
        <v>354</v>
      </c>
      <c r="G173" s="1" t="s">
        <v>1294</v>
      </c>
      <c r="H173" s="7" t="s">
        <v>175</v>
      </c>
      <c r="I173" s="14" t="s">
        <v>702</v>
      </c>
      <c r="J173" s="8">
        <v>398266</v>
      </c>
      <c r="K173" s="9">
        <v>4.8000000000000001E-5</v>
      </c>
      <c r="L173" s="10">
        <v>100250</v>
      </c>
      <c r="M173" s="12">
        <v>4</v>
      </c>
      <c r="N173" s="29">
        <v>31325116556</v>
      </c>
      <c r="O173">
        <v>80827</v>
      </c>
      <c r="P173" s="27">
        <v>2.9999999999999997E-4</v>
      </c>
      <c r="Q173" s="32">
        <v>33463</v>
      </c>
      <c r="R173" s="13">
        <v>278300000</v>
      </c>
      <c r="S173" s="13">
        <v>2304</v>
      </c>
      <c r="V173" s="7" t="s">
        <v>175</v>
      </c>
      <c r="W173" s="6" t="s">
        <v>626</v>
      </c>
      <c r="X173" s="6" t="s">
        <v>615</v>
      </c>
      <c r="Y173" s="14" t="s">
        <v>1091</v>
      </c>
      <c r="Z173" s="1" t="s">
        <v>1294</v>
      </c>
    </row>
    <row r="174" spans="1:26" ht="35" x14ac:dyDescent="0.2">
      <c r="A174" s="6">
        <v>173</v>
      </c>
      <c r="B174" s="6" t="s">
        <v>628</v>
      </c>
      <c r="C174" s="6" t="s">
        <v>621</v>
      </c>
      <c r="D174" s="14" t="s">
        <v>930</v>
      </c>
      <c r="E174" s="14" t="s">
        <v>1209</v>
      </c>
      <c r="F174" s="13">
        <v>678</v>
      </c>
      <c r="G174" s="1" t="s">
        <v>1295</v>
      </c>
      <c r="H174" s="7" t="s">
        <v>176</v>
      </c>
      <c r="I174" s="14" t="s">
        <v>794</v>
      </c>
      <c r="J174" s="8">
        <v>335169</v>
      </c>
      <c r="K174" s="9">
        <v>4.1E-5</v>
      </c>
      <c r="L174" s="10">
        <v>12190</v>
      </c>
      <c r="M174" s="12">
        <v>27</v>
      </c>
      <c r="N174" s="29">
        <v>1126313359</v>
      </c>
      <c r="O174">
        <v>3515</v>
      </c>
      <c r="P174" s="27">
        <v>1.1E-5</v>
      </c>
      <c r="Q174" s="32">
        <v>1161</v>
      </c>
      <c r="R174" s="13" t="e">
        <v>#N/A</v>
      </c>
      <c r="S174" s="13" t="e">
        <v>#N/A</v>
      </c>
      <c r="V174" s="7" t="s">
        <v>176</v>
      </c>
      <c r="W174" s="6" t="s">
        <v>628</v>
      </c>
      <c r="X174" s="6" t="s">
        <v>621</v>
      </c>
      <c r="Y174" s="14" t="s">
        <v>1209</v>
      </c>
      <c r="Z174" s="1" t="s">
        <v>1295</v>
      </c>
    </row>
    <row r="175" spans="1:26" ht="35" x14ac:dyDescent="0.2">
      <c r="A175" s="6">
        <v>174</v>
      </c>
      <c r="B175" s="6" t="s">
        <v>628</v>
      </c>
      <c r="C175" s="6" t="s">
        <v>619</v>
      </c>
      <c r="D175" s="14" t="s">
        <v>873</v>
      </c>
      <c r="E175" s="14" t="s">
        <v>1025</v>
      </c>
      <c r="F175" s="13" t="s">
        <v>1024</v>
      </c>
      <c r="G175" s="1" t="s">
        <v>1296</v>
      </c>
      <c r="H175" s="7" t="s">
        <v>177</v>
      </c>
      <c r="I175" s="14" t="s">
        <v>644</v>
      </c>
      <c r="J175" s="8">
        <v>282623</v>
      </c>
      <c r="K175" s="9">
        <v>3.4E-5</v>
      </c>
      <c r="L175" s="6">
        <v>430</v>
      </c>
      <c r="M175" s="12">
        <v>657</v>
      </c>
      <c r="N175" s="29">
        <v>6720733200</v>
      </c>
      <c r="O175">
        <v>23804</v>
      </c>
      <c r="P175" s="27">
        <v>6.3E-5</v>
      </c>
      <c r="Q175" s="32">
        <v>7165</v>
      </c>
      <c r="R175" s="13">
        <v>81000000</v>
      </c>
      <c r="S175" s="13">
        <v>826</v>
      </c>
      <c r="V175" s="7" t="s">
        <v>177</v>
      </c>
      <c r="W175" s="6" t="s">
        <v>628</v>
      </c>
      <c r="X175" s="6" t="s">
        <v>619</v>
      </c>
      <c r="Y175" s="14" t="s">
        <v>1025</v>
      </c>
      <c r="Z175" s="1" t="s">
        <v>1296</v>
      </c>
    </row>
    <row r="176" spans="1:26" ht="35" x14ac:dyDescent="0.2">
      <c r="A176" s="6">
        <v>175</v>
      </c>
      <c r="B176" s="6" t="s">
        <v>627</v>
      </c>
      <c r="C176" s="6" t="s">
        <v>605</v>
      </c>
      <c r="D176" s="14" t="s">
        <v>821</v>
      </c>
      <c r="E176" s="14" t="s">
        <v>1166</v>
      </c>
      <c r="F176" s="13">
        <v>239</v>
      </c>
      <c r="G176" s="1" t="s">
        <v>1297</v>
      </c>
      <c r="H176" s="7" t="s">
        <v>178</v>
      </c>
      <c r="I176" s="14" t="s">
        <v>803</v>
      </c>
      <c r="J176" s="8">
        <v>240254</v>
      </c>
      <c r="K176" s="9">
        <v>2.9E-5</v>
      </c>
      <c r="L176" s="6">
        <v>960</v>
      </c>
      <c r="M176" s="12">
        <v>250</v>
      </c>
      <c r="N176" s="29">
        <v>678976265</v>
      </c>
      <c r="O176">
        <v>2941</v>
      </c>
      <c r="P176" s="27">
        <v>6.3999999999999997E-6</v>
      </c>
      <c r="Q176" s="32">
        <v>764</v>
      </c>
      <c r="R176" s="13">
        <v>40900000</v>
      </c>
      <c r="S176" s="13">
        <v>550</v>
      </c>
      <c r="V176" s="7" t="s">
        <v>178</v>
      </c>
      <c r="W176" s="6" t="s">
        <v>627</v>
      </c>
      <c r="X176" s="6" t="s">
        <v>605</v>
      </c>
      <c r="Y176" s="14" t="s">
        <v>1166</v>
      </c>
      <c r="Z176" s="1" t="s">
        <v>1297</v>
      </c>
    </row>
    <row r="177" spans="1:26" ht="35" x14ac:dyDescent="0.2">
      <c r="A177" s="6">
        <v>176</v>
      </c>
      <c r="B177" s="6" t="s">
        <v>628</v>
      </c>
      <c r="C177" s="6" t="s">
        <v>622</v>
      </c>
      <c r="D177" s="14" t="s">
        <v>923</v>
      </c>
      <c r="E177" s="14" t="s">
        <v>1164</v>
      </c>
      <c r="F177" s="13">
        <v>685</v>
      </c>
      <c r="G177" s="1" t="s">
        <v>1298</v>
      </c>
      <c r="H177" s="7" t="s">
        <v>179</v>
      </c>
      <c r="I177" s="14" t="s">
        <v>763</v>
      </c>
      <c r="J177" s="8">
        <v>219306</v>
      </c>
      <c r="K177" s="9">
        <v>2.6999999999999999E-5</v>
      </c>
      <c r="L177" s="10">
        <v>2830</v>
      </c>
      <c r="M177" s="12">
        <v>77</v>
      </c>
      <c r="N177" s="29">
        <v>938189444</v>
      </c>
      <c r="O177">
        <v>4330</v>
      </c>
      <c r="P177" s="27">
        <v>8.8000000000000004E-6</v>
      </c>
      <c r="Q177" s="32">
        <v>1068</v>
      </c>
      <c r="R177" s="13" t="e">
        <v>#N/A</v>
      </c>
      <c r="S177" s="13" t="e">
        <v>#N/A</v>
      </c>
      <c r="V177" s="7" t="s">
        <v>179</v>
      </c>
      <c r="W177" s="6" t="s">
        <v>628</v>
      </c>
      <c r="X177" s="6" t="s">
        <v>622</v>
      </c>
      <c r="Y177" s="14" t="s">
        <v>1164</v>
      </c>
      <c r="Z177" s="1" t="s">
        <v>1298</v>
      </c>
    </row>
    <row r="178" spans="1:26" ht="35" x14ac:dyDescent="0.2">
      <c r="A178" s="6">
        <v>177</v>
      </c>
      <c r="B178" s="6" t="s">
        <v>628</v>
      </c>
      <c r="C178" s="6" t="s">
        <v>619</v>
      </c>
      <c r="D178" s="14" t="s">
        <v>879</v>
      </c>
      <c r="E178" s="14" t="s">
        <v>1163</v>
      </c>
      <c r="F178" s="13" t="s">
        <v>1162</v>
      </c>
      <c r="G178" s="1" t="s">
        <v>1299</v>
      </c>
      <c r="H178" s="7" t="s">
        <v>879</v>
      </c>
      <c r="I178" s="14" t="s">
        <v>761</v>
      </c>
      <c r="J178" s="8">
        <v>180149</v>
      </c>
      <c r="K178" s="9">
        <v>2.1999999999999999E-5</v>
      </c>
      <c r="L178" s="6">
        <v>610</v>
      </c>
      <c r="M178" s="12">
        <v>295</v>
      </c>
      <c r="N178" s="29">
        <v>2430148148</v>
      </c>
      <c r="O178">
        <v>13555</v>
      </c>
      <c r="P178" s="27">
        <v>2.3E-5</v>
      </c>
      <c r="Q178" s="32">
        <v>2549</v>
      </c>
      <c r="R178" s="13">
        <v>42900000</v>
      </c>
      <c r="S178" s="13">
        <v>701</v>
      </c>
      <c r="V178" s="7" t="s">
        <v>879</v>
      </c>
      <c r="W178" s="6" t="s">
        <v>628</v>
      </c>
      <c r="X178" s="6" t="s">
        <v>619</v>
      </c>
      <c r="Y178" s="14" t="s">
        <v>1163</v>
      </c>
      <c r="Z178" s="1" t="s">
        <v>1299</v>
      </c>
    </row>
    <row r="179" spans="1:26" ht="35" x14ac:dyDescent="0.2">
      <c r="A179" s="6">
        <v>178</v>
      </c>
      <c r="B179" s="6" t="s">
        <v>628</v>
      </c>
      <c r="C179" s="6" t="s">
        <v>184</v>
      </c>
      <c r="D179" s="14" t="s">
        <v>909</v>
      </c>
      <c r="E179" s="14" t="s">
        <v>1105</v>
      </c>
      <c r="F179" s="13">
        <v>686</v>
      </c>
      <c r="G179" s="1" t="s">
        <v>1300</v>
      </c>
      <c r="H179" s="7" t="s">
        <v>181</v>
      </c>
      <c r="I179" s="14" t="s">
        <v>713</v>
      </c>
      <c r="J179" s="8">
        <v>136488</v>
      </c>
      <c r="K179" s="9">
        <v>1.7E-5</v>
      </c>
      <c r="L179" s="6">
        <v>810</v>
      </c>
      <c r="M179" s="12">
        <v>169</v>
      </c>
      <c r="N179" s="29">
        <v>279208903</v>
      </c>
      <c r="O179">
        <v>2107</v>
      </c>
      <c r="P179" s="27">
        <v>2.6000000000000001E-6</v>
      </c>
      <c r="Q179" s="32">
        <v>308</v>
      </c>
      <c r="R179" s="13" t="e">
        <v>#N/A</v>
      </c>
      <c r="S179" s="13" t="e">
        <v>#N/A</v>
      </c>
      <c r="V179" s="7" t="s">
        <v>181</v>
      </c>
      <c r="W179" s="6" t="s">
        <v>628</v>
      </c>
      <c r="X179" s="6" t="s">
        <v>184</v>
      </c>
      <c r="Y179" s="14" t="s">
        <v>1105</v>
      </c>
      <c r="Z179" s="1" t="s">
        <v>1300</v>
      </c>
    </row>
    <row r="180" spans="1:26" ht="35" x14ac:dyDescent="0.2">
      <c r="A180" s="6">
        <v>179</v>
      </c>
      <c r="B180" s="6" t="s">
        <v>627</v>
      </c>
      <c r="C180" s="6" t="s">
        <v>603</v>
      </c>
      <c r="D180" s="14" t="s">
        <v>822</v>
      </c>
      <c r="E180" s="14" t="s">
        <v>1170</v>
      </c>
      <c r="F180" s="13">
        <v>248</v>
      </c>
      <c r="G180" s="1" t="s">
        <v>1301</v>
      </c>
      <c r="H180" s="7" t="s">
        <v>182</v>
      </c>
      <c r="I180" s="14" t="s">
        <v>767</v>
      </c>
      <c r="J180" s="8">
        <v>132779</v>
      </c>
      <c r="K180" s="9">
        <v>1.5999999999999999E-5</v>
      </c>
      <c r="L180" s="6">
        <v>460</v>
      </c>
      <c r="M180" s="12">
        <v>289</v>
      </c>
      <c r="N180" s="29">
        <v>2141450171</v>
      </c>
      <c r="O180">
        <v>16736</v>
      </c>
      <c r="P180" s="27">
        <v>2.0000000000000002E-5</v>
      </c>
      <c r="Q180" s="32">
        <v>2167</v>
      </c>
      <c r="R180" s="13">
        <v>13700000</v>
      </c>
      <c r="S180" s="13">
        <v>420</v>
      </c>
      <c r="V180" s="7" t="s">
        <v>182</v>
      </c>
      <c r="W180" s="6" t="s">
        <v>627</v>
      </c>
      <c r="X180" s="6" t="s">
        <v>603</v>
      </c>
      <c r="Y180" s="14" t="s">
        <v>1170</v>
      </c>
      <c r="Z180" s="1" t="s">
        <v>1301</v>
      </c>
    </row>
    <row r="181" spans="1:26" ht="35" x14ac:dyDescent="0.2">
      <c r="A181" s="6">
        <v>180</v>
      </c>
      <c r="B181" s="6" t="s">
        <v>628</v>
      </c>
      <c r="C181" s="6" t="s">
        <v>619</v>
      </c>
      <c r="D181" s="14" t="s">
        <v>876</v>
      </c>
      <c r="E181" s="14" t="s">
        <v>1081</v>
      </c>
      <c r="F181" s="13" t="s">
        <v>1080</v>
      </c>
      <c r="G181" s="1" t="s">
        <v>1302</v>
      </c>
      <c r="H181" s="7" t="s">
        <v>183</v>
      </c>
      <c r="I181" s="14" t="s">
        <v>694</v>
      </c>
      <c r="J181" s="8">
        <v>117303</v>
      </c>
      <c r="K181" s="9">
        <v>1.4E-5</v>
      </c>
      <c r="L181" s="6">
        <v>340</v>
      </c>
      <c r="M181" s="12">
        <v>345</v>
      </c>
      <c r="N181" s="29">
        <v>1316733333</v>
      </c>
      <c r="O181">
        <v>11246</v>
      </c>
      <c r="P181" s="27">
        <v>1.2E-5</v>
      </c>
      <c r="Q181" s="32">
        <v>1391</v>
      </c>
      <c r="R181" s="13">
        <v>14100000</v>
      </c>
      <c r="S181" s="13">
        <v>338</v>
      </c>
      <c r="V181" s="7" t="s">
        <v>183</v>
      </c>
      <c r="W181" s="6" t="s">
        <v>628</v>
      </c>
      <c r="X181" s="6" t="s">
        <v>619</v>
      </c>
      <c r="Y181" s="14" t="s">
        <v>1081</v>
      </c>
      <c r="Z181" s="1" t="s">
        <v>1302</v>
      </c>
    </row>
    <row r="182" spans="1:26" ht="35" x14ac:dyDescent="0.2">
      <c r="A182" s="6">
        <v>181</v>
      </c>
      <c r="B182" s="6" t="s">
        <v>628</v>
      </c>
      <c r="C182" s="6" t="s">
        <v>184</v>
      </c>
      <c r="D182" s="14" t="s">
        <v>913</v>
      </c>
      <c r="E182" s="14" t="s">
        <v>1127</v>
      </c>
      <c r="F182" s="13">
        <v>691</v>
      </c>
      <c r="G182" s="1" t="s">
        <v>1303</v>
      </c>
      <c r="H182" s="7" t="s">
        <v>184</v>
      </c>
      <c r="I182" s="14" t="s">
        <v>684</v>
      </c>
      <c r="J182" s="8">
        <v>113683</v>
      </c>
      <c r="K182" s="9">
        <v>1.4E-5</v>
      </c>
      <c r="L182" s="6">
        <v>700</v>
      </c>
      <c r="M182" s="12">
        <v>162</v>
      </c>
      <c r="N182" s="29">
        <v>460000000</v>
      </c>
      <c r="O182">
        <v>4084</v>
      </c>
      <c r="P182" s="27">
        <v>4.3000000000000003E-6</v>
      </c>
      <c r="Q182" s="32">
        <v>471</v>
      </c>
      <c r="R182" s="13" t="e">
        <v>#N/A</v>
      </c>
      <c r="S182" s="13" t="e">
        <v>#N/A</v>
      </c>
      <c r="V182" s="7" t="s">
        <v>184</v>
      </c>
      <c r="W182" s="6" t="s">
        <v>628</v>
      </c>
      <c r="X182" s="6" t="s">
        <v>184</v>
      </c>
      <c r="Y182" s="14" t="s">
        <v>1127</v>
      </c>
      <c r="Z182" s="1" t="s">
        <v>1303</v>
      </c>
    </row>
    <row r="183" spans="1:26" ht="35" x14ac:dyDescent="0.2">
      <c r="A183" s="6">
        <v>182</v>
      </c>
      <c r="B183" s="6" t="s">
        <v>628</v>
      </c>
      <c r="C183" s="6" t="s">
        <v>622</v>
      </c>
      <c r="D183" s="14" t="s">
        <v>926</v>
      </c>
      <c r="E183" s="14" t="s">
        <v>1195</v>
      </c>
      <c r="F183" s="13">
        <v>676</v>
      </c>
      <c r="G183" s="1" t="s">
        <v>1304</v>
      </c>
      <c r="H183" s="7" t="s">
        <v>185</v>
      </c>
      <c r="I183" s="14" t="s">
        <v>784</v>
      </c>
      <c r="J183" s="8">
        <v>103742</v>
      </c>
      <c r="K183" s="9">
        <v>1.2999999999999999E-5</v>
      </c>
      <c r="L183" s="6">
        <v>720</v>
      </c>
      <c r="M183" s="12">
        <v>144</v>
      </c>
      <c r="N183" s="29" t="e">
        <v>#N/A</v>
      </c>
      <c r="O183" t="e">
        <v>#N/A</v>
      </c>
      <c r="P183" s="27" t="e">
        <v>#N/A</v>
      </c>
      <c r="Q183" s="32">
        <v>509</v>
      </c>
      <c r="R183" s="13" t="e">
        <v>#N/A</v>
      </c>
      <c r="S183" s="13" t="e">
        <v>#N/A</v>
      </c>
      <c r="V183" s="7" t="s">
        <v>185</v>
      </c>
      <c r="W183" s="6" t="s">
        <v>628</v>
      </c>
      <c r="X183" s="6" t="s">
        <v>622</v>
      </c>
      <c r="Y183" s="14" t="s">
        <v>1195</v>
      </c>
      <c r="Z183" s="1" t="s">
        <v>1304</v>
      </c>
    </row>
    <row r="184" spans="1:26" ht="35" x14ac:dyDescent="0.2">
      <c r="A184" s="6">
        <v>183</v>
      </c>
      <c r="B184" s="6" t="s">
        <v>628</v>
      </c>
      <c r="C184" s="6" t="s">
        <v>619</v>
      </c>
      <c r="D184" s="14" t="s">
        <v>880</v>
      </c>
      <c r="E184" s="14" t="s">
        <v>1184</v>
      </c>
      <c r="F184" s="13" t="s">
        <v>1183</v>
      </c>
      <c r="G184" s="1" t="s">
        <v>1305</v>
      </c>
      <c r="H184" s="7" t="s">
        <v>186</v>
      </c>
      <c r="I184" s="14" t="s">
        <v>762</v>
      </c>
      <c r="J184" s="8">
        <v>99924</v>
      </c>
      <c r="K184" s="9">
        <v>1.2E-5</v>
      </c>
      <c r="L184" s="6">
        <v>390</v>
      </c>
      <c r="M184" s="12">
        <v>256</v>
      </c>
      <c r="N184" s="29">
        <v>1065962963</v>
      </c>
      <c r="O184">
        <v>10520</v>
      </c>
      <c r="P184" s="27">
        <v>1.0000000000000001E-5</v>
      </c>
      <c r="Q184" s="32">
        <v>1157</v>
      </c>
      <c r="R184" s="13">
        <v>8500000</v>
      </c>
      <c r="S184" s="13">
        <v>215</v>
      </c>
      <c r="V184" s="7" t="s">
        <v>186</v>
      </c>
      <c r="W184" s="6" t="s">
        <v>628</v>
      </c>
      <c r="X184" s="6" t="s">
        <v>619</v>
      </c>
      <c r="Y184" s="14" t="s">
        <v>1184</v>
      </c>
      <c r="Z184" s="1" t="s">
        <v>1305</v>
      </c>
    </row>
    <row r="185" spans="1:26" ht="35" x14ac:dyDescent="0.2">
      <c r="A185" s="6">
        <v>184</v>
      </c>
      <c r="B185" s="6" t="s">
        <v>628</v>
      </c>
      <c r="C185" s="6" t="s">
        <v>619</v>
      </c>
      <c r="D185" s="14" t="s">
        <v>871</v>
      </c>
      <c r="E185" s="14" t="s">
        <v>1014</v>
      </c>
      <c r="F185" s="13" t="s">
        <v>1013</v>
      </c>
      <c r="G185" s="1" t="s">
        <v>1306</v>
      </c>
      <c r="H185" s="7" t="s">
        <v>187</v>
      </c>
      <c r="I185" s="14" t="s">
        <v>635</v>
      </c>
      <c r="J185" s="8">
        <v>94209</v>
      </c>
      <c r="K185" s="9">
        <v>1.1E-5</v>
      </c>
      <c r="L185" s="6">
        <v>440</v>
      </c>
      <c r="M185" s="12">
        <v>214</v>
      </c>
      <c r="N185" s="29">
        <v>2033085185</v>
      </c>
      <c r="O185">
        <v>21787</v>
      </c>
      <c r="P185" s="27">
        <v>1.9000000000000001E-5</v>
      </c>
      <c r="Q185" s="32">
        <v>2225</v>
      </c>
      <c r="R185" s="13">
        <v>11500000</v>
      </c>
      <c r="S185" s="13">
        <v>361</v>
      </c>
      <c r="V185" s="7" t="s">
        <v>187</v>
      </c>
      <c r="W185" s="6" t="s">
        <v>628</v>
      </c>
      <c r="X185" s="6" t="s">
        <v>619</v>
      </c>
      <c r="Y185" s="14" t="s">
        <v>1014</v>
      </c>
      <c r="Z185" s="1" t="s">
        <v>1306</v>
      </c>
    </row>
    <row r="186" spans="1:26" ht="35" x14ac:dyDescent="0.2">
      <c r="A186" s="6">
        <v>185</v>
      </c>
      <c r="B186" s="6" t="s">
        <v>626</v>
      </c>
      <c r="C186" s="6" t="s">
        <v>616</v>
      </c>
      <c r="D186" s="14" t="s">
        <v>965</v>
      </c>
      <c r="E186" s="14" t="s">
        <v>1011</v>
      </c>
      <c r="F186" s="13">
        <v>376</v>
      </c>
      <c r="G186" s="1" t="s">
        <v>1307</v>
      </c>
      <c r="H186" s="7" t="s">
        <v>188</v>
      </c>
      <c r="I186" s="14" t="s">
        <v>633</v>
      </c>
      <c r="J186" s="8">
        <v>82904</v>
      </c>
      <c r="K186" s="9">
        <v>1.0000000000000001E-5</v>
      </c>
      <c r="L186" s="6">
        <v>470</v>
      </c>
      <c r="M186" s="12">
        <v>176</v>
      </c>
      <c r="N186" s="29">
        <v>3785067332</v>
      </c>
      <c r="O186">
        <v>46812</v>
      </c>
      <c r="P186" s="27">
        <v>3.6000000000000001E-5</v>
      </c>
      <c r="Q186" s="32">
        <v>4040</v>
      </c>
      <c r="R186" s="13" t="e">
        <v>#N/A</v>
      </c>
      <c r="S186" s="13" t="e">
        <v>#N/A</v>
      </c>
      <c r="V186" s="7" t="s">
        <v>188</v>
      </c>
      <c r="W186" s="6" t="s">
        <v>626</v>
      </c>
      <c r="X186" s="6" t="s">
        <v>616</v>
      </c>
      <c r="Y186" s="14" t="s">
        <v>1011</v>
      </c>
      <c r="Z186" s="1" t="s">
        <v>1307</v>
      </c>
    </row>
    <row r="187" spans="1:26" ht="35" x14ac:dyDescent="0.2">
      <c r="A187" s="6">
        <v>186</v>
      </c>
      <c r="B187" s="6" t="s">
        <v>628</v>
      </c>
      <c r="C187" s="6" t="s">
        <v>619</v>
      </c>
      <c r="D187" s="14" t="s">
        <v>875</v>
      </c>
      <c r="E187" s="14" t="s">
        <v>1059</v>
      </c>
      <c r="F187" s="13" t="s">
        <v>1058</v>
      </c>
      <c r="G187" s="1" t="s">
        <v>584</v>
      </c>
      <c r="H187" s="7" t="s">
        <v>189</v>
      </c>
      <c r="I187" s="14" t="s">
        <v>673</v>
      </c>
      <c r="J187" s="8">
        <v>65871</v>
      </c>
      <c r="K187" s="9">
        <v>7.9999999999999996E-6</v>
      </c>
      <c r="L187" s="6">
        <v>750</v>
      </c>
      <c r="M187" s="12">
        <v>88</v>
      </c>
      <c r="N187" s="29">
        <v>653992593</v>
      </c>
      <c r="O187">
        <v>9833</v>
      </c>
      <c r="P187" s="27">
        <v>6.1999999999999999E-6</v>
      </c>
      <c r="Q187" s="32">
        <v>689</v>
      </c>
      <c r="R187" s="13">
        <v>20000000</v>
      </c>
      <c r="S187" s="13">
        <v>796</v>
      </c>
      <c r="V187" s="7" t="s">
        <v>189</v>
      </c>
      <c r="W187" s="6" t="s">
        <v>628</v>
      </c>
      <c r="X187" s="6" t="s">
        <v>619</v>
      </c>
      <c r="Y187" s="14" t="s">
        <v>1059</v>
      </c>
      <c r="Z187" s="1" t="s">
        <v>584</v>
      </c>
    </row>
    <row r="188" spans="1:26" ht="35" x14ac:dyDescent="0.2">
      <c r="A188" s="6">
        <v>187</v>
      </c>
      <c r="B188" s="6" t="s">
        <v>628</v>
      </c>
      <c r="C188" s="6" t="s">
        <v>619</v>
      </c>
      <c r="D188" s="14" t="s">
        <v>878</v>
      </c>
      <c r="E188" s="14" t="s">
        <v>1161</v>
      </c>
      <c r="F188" s="13" t="s">
        <v>1160</v>
      </c>
      <c r="G188" s="1" t="s">
        <v>1308</v>
      </c>
      <c r="H188" s="7" t="s">
        <v>190</v>
      </c>
      <c r="I188" s="14" t="s">
        <v>760</v>
      </c>
      <c r="J188" s="8">
        <v>46922</v>
      </c>
      <c r="K188" s="9">
        <v>5.6999999999999996E-6</v>
      </c>
      <c r="L188" s="6">
        <v>260</v>
      </c>
      <c r="M188" s="12">
        <v>180</v>
      </c>
      <c r="N188" s="29">
        <v>1055499778</v>
      </c>
      <c r="O188">
        <v>22574</v>
      </c>
      <c r="P188" s="27">
        <v>9.9000000000000001E-6</v>
      </c>
      <c r="Q188" s="32">
        <v>1067</v>
      </c>
      <c r="R188" s="13">
        <v>15600000</v>
      </c>
      <c r="S188" s="13">
        <v>909</v>
      </c>
      <c r="V188" s="7" t="s">
        <v>190</v>
      </c>
      <c r="W188" s="6" t="s">
        <v>628</v>
      </c>
      <c r="X188" s="6" t="s">
        <v>619</v>
      </c>
      <c r="Y188" s="14" t="s">
        <v>1161</v>
      </c>
      <c r="Z188" s="1" t="s">
        <v>1308</v>
      </c>
    </row>
    <row r="189" spans="1:26" ht="35" x14ac:dyDescent="0.2">
      <c r="A189" s="6">
        <v>188</v>
      </c>
      <c r="B189" s="6" t="s">
        <v>626</v>
      </c>
      <c r="C189" s="6" t="s">
        <v>614</v>
      </c>
      <c r="D189" s="14" t="s">
        <v>977</v>
      </c>
      <c r="E189" s="14" t="s">
        <v>1114</v>
      </c>
      <c r="F189" s="13">
        <v>423</v>
      </c>
      <c r="G189" s="1" t="s">
        <v>1309</v>
      </c>
      <c r="H189" s="7" t="s">
        <v>191</v>
      </c>
      <c r="I189" s="14" t="s">
        <v>721</v>
      </c>
      <c r="J189" s="8">
        <v>40128</v>
      </c>
      <c r="K189" s="9">
        <v>4.8999999999999997E-6</v>
      </c>
      <c r="L189" s="6">
        <v>160</v>
      </c>
      <c r="M189" s="12">
        <v>251</v>
      </c>
      <c r="N189" s="29" t="e">
        <v>#N/A</v>
      </c>
      <c r="O189" t="e">
        <v>#N/A</v>
      </c>
      <c r="P189" s="27" t="e">
        <v>#N/A</v>
      </c>
      <c r="Q189" s="32">
        <v>2023</v>
      </c>
      <c r="R189" s="13" t="e">
        <v>#N/A</v>
      </c>
      <c r="S189" s="13" t="e">
        <v>#N/A</v>
      </c>
      <c r="V189" s="7" t="s">
        <v>191</v>
      </c>
      <c r="W189" s="6" t="s">
        <v>626</v>
      </c>
      <c r="X189" s="6" t="s">
        <v>614</v>
      </c>
      <c r="Y189" s="14" t="s">
        <v>1114</v>
      </c>
      <c r="Z189" s="1" t="s">
        <v>1309</v>
      </c>
    </row>
    <row r="190" spans="1:26" ht="35" x14ac:dyDescent="0.2">
      <c r="A190" s="6">
        <v>189</v>
      </c>
      <c r="B190" s="6" t="s">
        <v>626</v>
      </c>
      <c r="C190" s="6" t="s">
        <v>614</v>
      </c>
      <c r="D190" s="14" t="s">
        <v>979</v>
      </c>
      <c r="E190" s="14" t="s">
        <v>1129</v>
      </c>
      <c r="F190" s="13">
        <v>377</v>
      </c>
      <c r="G190" s="1" t="s">
        <v>1310</v>
      </c>
      <c r="H190" s="7" t="s">
        <v>192</v>
      </c>
      <c r="I190" s="14" t="s">
        <v>192</v>
      </c>
      <c r="J190" s="8">
        <v>38341</v>
      </c>
      <c r="K190" s="9">
        <v>4.6999999999999999E-6</v>
      </c>
      <c r="L190" s="6">
        <v>1</v>
      </c>
      <c r="M190" s="12">
        <v>25732</v>
      </c>
      <c r="N190" s="29" t="e">
        <v>#N/A</v>
      </c>
      <c r="O190" t="e">
        <v>#N/A</v>
      </c>
      <c r="P190" s="27" t="e">
        <v>#N/A</v>
      </c>
      <c r="Q190" s="32">
        <v>2023</v>
      </c>
      <c r="R190" s="13">
        <v>5000000</v>
      </c>
      <c r="S190" s="13">
        <v>423</v>
      </c>
      <c r="V190" s="7" t="s">
        <v>192</v>
      </c>
      <c r="W190" s="6" t="s">
        <v>626</v>
      </c>
      <c r="X190" s="6" t="s">
        <v>614</v>
      </c>
      <c r="Y190" s="14" t="s">
        <v>1129</v>
      </c>
      <c r="Z190" s="1" t="s">
        <v>1310</v>
      </c>
    </row>
    <row r="191" spans="1:26" ht="35" x14ac:dyDescent="0.2">
      <c r="A191" s="6">
        <v>190</v>
      </c>
      <c r="B191" s="6" t="s">
        <v>628</v>
      </c>
      <c r="C191" s="6" t="s">
        <v>184</v>
      </c>
      <c r="D191" s="14" t="s">
        <v>940</v>
      </c>
      <c r="E191" s="14" t="s">
        <v>1123</v>
      </c>
      <c r="F191" s="13">
        <v>692</v>
      </c>
      <c r="G191" s="1" t="s">
        <v>1311</v>
      </c>
      <c r="H191" s="7" t="s">
        <v>193</v>
      </c>
      <c r="I191" s="14" t="s">
        <v>728</v>
      </c>
      <c r="J191" s="8">
        <v>36282</v>
      </c>
      <c r="K191" s="9">
        <v>4.4000000000000002E-6</v>
      </c>
      <c r="L191" s="6">
        <v>180</v>
      </c>
      <c r="M191" s="12">
        <v>202</v>
      </c>
      <c r="N191" s="29">
        <v>259300000</v>
      </c>
      <c r="O191">
        <v>6678</v>
      </c>
      <c r="P191" s="27">
        <v>2.3999999999999999E-6</v>
      </c>
      <c r="Q191" s="32">
        <v>280</v>
      </c>
      <c r="R191" s="13" t="e">
        <v>#N/A</v>
      </c>
      <c r="S191" s="13" t="e">
        <v>#N/A</v>
      </c>
      <c r="V191" s="7" t="s">
        <v>193</v>
      </c>
      <c r="W191" s="6" t="s">
        <v>628</v>
      </c>
      <c r="X191" s="6" t="s">
        <v>184</v>
      </c>
      <c r="Y191" s="14" t="s">
        <v>1123</v>
      </c>
      <c r="Z191" s="1" t="s">
        <v>1311</v>
      </c>
    </row>
    <row r="192" spans="1:26" ht="35" x14ac:dyDescent="0.2">
      <c r="A192" s="6">
        <v>191</v>
      </c>
      <c r="B192" s="6" t="s">
        <v>626</v>
      </c>
      <c r="C192" s="6" t="s">
        <v>616</v>
      </c>
      <c r="D192" s="14" t="s">
        <v>985</v>
      </c>
      <c r="E192" s="14" t="s">
        <v>1165</v>
      </c>
      <c r="F192" s="13">
        <v>378</v>
      </c>
      <c r="G192" s="1" t="s">
        <v>1312</v>
      </c>
      <c r="H192" s="7" t="s">
        <v>194</v>
      </c>
      <c r="I192" s="14" t="s">
        <v>194</v>
      </c>
      <c r="J192" s="8">
        <v>33572</v>
      </c>
      <c r="K192" s="9">
        <v>4.0999999999999997E-6</v>
      </c>
      <c r="L192" s="6">
        <v>60</v>
      </c>
      <c r="M192" s="12">
        <v>560</v>
      </c>
      <c r="N192" s="29" t="e">
        <v>#N/A</v>
      </c>
      <c r="O192" t="e">
        <v>#N/A</v>
      </c>
      <c r="P192" s="27" t="e">
        <v>#N/A</v>
      </c>
      <c r="Q192" s="32">
        <v>1832</v>
      </c>
      <c r="R192" s="13" t="e">
        <v>#N/A</v>
      </c>
      <c r="S192" s="13" t="e">
        <v>#N/A</v>
      </c>
      <c r="V192" s="7" t="s">
        <v>194</v>
      </c>
      <c r="W192" s="6" t="s">
        <v>626</v>
      </c>
      <c r="X192" s="6" t="s">
        <v>616</v>
      </c>
      <c r="Y192" s="14" t="s">
        <v>1165</v>
      </c>
      <c r="Z192" s="1" t="s">
        <v>1312</v>
      </c>
    </row>
    <row r="193" spans="1:26" ht="35" x14ac:dyDescent="0.2">
      <c r="A193" s="6">
        <v>192</v>
      </c>
      <c r="B193" s="6" t="s">
        <v>628</v>
      </c>
      <c r="C193" s="6" t="s">
        <v>184</v>
      </c>
      <c r="D193" s="14" t="s">
        <v>944</v>
      </c>
      <c r="E193" s="14" t="s">
        <v>1148</v>
      </c>
      <c r="F193" s="13">
        <v>680</v>
      </c>
      <c r="G193" s="1" t="s">
        <v>1313</v>
      </c>
      <c r="H193" s="7" t="s">
        <v>195</v>
      </c>
      <c r="I193" s="14" t="s">
        <v>749</v>
      </c>
      <c r="J193" s="8">
        <v>17663</v>
      </c>
      <c r="K193" s="9">
        <v>2.0999999999999998E-6</v>
      </c>
      <c r="L193" s="6">
        <v>460</v>
      </c>
      <c r="M193" s="12">
        <v>38</v>
      </c>
      <c r="N193" s="29">
        <v>281849063</v>
      </c>
      <c r="O193">
        <v>15899</v>
      </c>
      <c r="P193" s="27">
        <v>2.7E-6</v>
      </c>
      <c r="Q193" s="32">
        <v>282</v>
      </c>
      <c r="R193" s="13" t="e">
        <v>#N/A</v>
      </c>
      <c r="S193" s="13" t="e">
        <v>#N/A</v>
      </c>
      <c r="V193" s="7" t="s">
        <v>195</v>
      </c>
      <c r="W193" s="6" t="s">
        <v>628</v>
      </c>
      <c r="X193" s="6" t="s">
        <v>184</v>
      </c>
      <c r="Y193" s="14" t="s">
        <v>1148</v>
      </c>
      <c r="Z193" s="1" t="s">
        <v>1313</v>
      </c>
    </row>
    <row r="194" spans="1:26" ht="35" x14ac:dyDescent="0.2">
      <c r="A194" s="6">
        <v>193</v>
      </c>
      <c r="B194" s="6" t="s">
        <v>628</v>
      </c>
      <c r="C194" s="6" t="s">
        <v>184</v>
      </c>
      <c r="D194" s="14" t="s">
        <v>942</v>
      </c>
      <c r="E194" s="14" t="s">
        <v>1136</v>
      </c>
      <c r="F194" s="13">
        <v>674</v>
      </c>
      <c r="G194" s="1" t="s">
        <v>1314</v>
      </c>
      <c r="H194" s="7" t="s">
        <v>196</v>
      </c>
      <c r="I194" s="14" t="s">
        <v>738</v>
      </c>
      <c r="J194" s="8">
        <v>12025</v>
      </c>
      <c r="K194" s="9">
        <v>1.5E-6</v>
      </c>
      <c r="L194" s="6">
        <v>20</v>
      </c>
      <c r="M194" s="12">
        <v>601</v>
      </c>
      <c r="N194" s="29" t="e">
        <v>#N/A</v>
      </c>
      <c r="O194" t="e">
        <v>#N/A</v>
      </c>
      <c r="P194" s="27" t="e">
        <v>#N/A</v>
      </c>
      <c r="Q194" s="32">
        <v>160</v>
      </c>
      <c r="R194" s="13" t="e">
        <v>#N/A</v>
      </c>
      <c r="S194" s="13" t="e">
        <v>#N/A</v>
      </c>
      <c r="V194" s="7" t="s">
        <v>196</v>
      </c>
      <c r="W194" s="6" t="s">
        <v>628</v>
      </c>
      <c r="X194" s="6" t="s">
        <v>184</v>
      </c>
      <c r="Y194" s="14" t="s">
        <v>1136</v>
      </c>
      <c r="Z194" s="1" t="s">
        <v>1314</v>
      </c>
    </row>
    <row r="195" spans="1:26" ht="35" x14ac:dyDescent="0.2">
      <c r="A195" s="6">
        <v>194</v>
      </c>
      <c r="B195" s="6" t="s">
        <v>628</v>
      </c>
      <c r="C195" s="6" t="s">
        <v>622</v>
      </c>
      <c r="D195" s="14" t="s">
        <v>948</v>
      </c>
      <c r="E195" s="14" t="s">
        <v>1201</v>
      </c>
      <c r="F195" s="13">
        <v>688</v>
      </c>
      <c r="G195" s="1" t="s">
        <v>1315</v>
      </c>
      <c r="H195" s="7" t="s">
        <v>197</v>
      </c>
      <c r="I195" s="14" t="s">
        <v>1225</v>
      </c>
      <c r="J195" s="8">
        <v>9492</v>
      </c>
      <c r="K195" s="9">
        <v>1.1999999999999999E-6</v>
      </c>
      <c r="L195" s="6">
        <v>30</v>
      </c>
      <c r="M195" s="12">
        <v>316</v>
      </c>
      <c r="N195" s="29">
        <v>62280312</v>
      </c>
      <c r="O195">
        <v>6345</v>
      </c>
      <c r="P195" s="27">
        <v>5.8999999999999996E-7</v>
      </c>
      <c r="Q195" s="32">
        <v>62</v>
      </c>
      <c r="R195" s="13" t="e">
        <v>#N/A</v>
      </c>
      <c r="S195" s="13" t="e">
        <v>#N/A</v>
      </c>
      <c r="V195" s="7" t="s">
        <v>197</v>
      </c>
      <c r="W195" s="6" t="s">
        <v>628</v>
      </c>
      <c r="X195" s="6" t="s">
        <v>622</v>
      </c>
      <c r="Y195" s="14" t="s">
        <v>1201</v>
      </c>
      <c r="Z195" s="1" t="s">
        <v>1315</v>
      </c>
    </row>
    <row r="196" spans="1:26" ht="35" x14ac:dyDescent="0.2">
      <c r="A196" s="6">
        <v>195</v>
      </c>
      <c r="B196" s="6" t="s">
        <v>626</v>
      </c>
      <c r="C196" s="6" t="s">
        <v>616</v>
      </c>
      <c r="D196" s="14" t="s">
        <v>1087</v>
      </c>
      <c r="E196" s="14" t="s">
        <v>1088</v>
      </c>
      <c r="F196" s="13">
        <v>379</v>
      </c>
      <c r="G196" s="1" t="s">
        <v>1218</v>
      </c>
      <c r="H196" s="7" t="s">
        <v>198</v>
      </c>
      <c r="I196" s="14" t="s">
        <v>804</v>
      </c>
      <c r="J196" s="11">
        <v>501</v>
      </c>
      <c r="K196" s="9">
        <v>6.1000000000000004E-8</v>
      </c>
      <c r="L196" s="6">
        <v>0</v>
      </c>
      <c r="M196" s="12">
        <v>1253</v>
      </c>
      <c r="N196" s="29" t="e">
        <v>#N/A</v>
      </c>
      <c r="O196" t="e">
        <v>#N/A</v>
      </c>
      <c r="P196" s="27" t="e">
        <v>#N/A</v>
      </c>
      <c r="Q196" s="32" t="s">
        <v>1319</v>
      </c>
      <c r="R196" s="13" t="e">
        <v>#N/A</v>
      </c>
      <c r="S196" s="13" t="e">
        <v>#N/A</v>
      </c>
      <c r="V196" s="7" t="s">
        <v>198</v>
      </c>
      <c r="W196" s="6" t="s">
        <v>626</v>
      </c>
      <c r="X196" s="6" t="s">
        <v>616</v>
      </c>
      <c r="Y196" s="14" t="s">
        <v>1088</v>
      </c>
      <c r="Z196" s="1" t="s">
        <v>1218</v>
      </c>
    </row>
    <row r="197" spans="1:26" x14ac:dyDescent="0.35">
      <c r="N197" s="29"/>
      <c r="V197" s="16" t="s">
        <v>257</v>
      </c>
      <c r="W197" s="12" t="s">
        <v>624</v>
      </c>
      <c r="X197" s="12" t="s">
        <v>608</v>
      </c>
      <c r="Y197" s="16"/>
      <c r="Z197" s="33" t="s">
        <v>1329</v>
      </c>
    </row>
    <row r="198" spans="1:26" x14ac:dyDescent="0.35">
      <c r="N198" s="29"/>
      <c r="V198" s="16" t="s">
        <v>306</v>
      </c>
      <c r="W198" s="12" t="s">
        <v>624</v>
      </c>
      <c r="X198" s="12" t="s">
        <v>608</v>
      </c>
      <c r="Y198" s="16"/>
      <c r="Z198" s="33" t="s">
        <v>1332</v>
      </c>
    </row>
    <row r="199" spans="1:26" x14ac:dyDescent="0.35">
      <c r="N199" s="29"/>
      <c r="V199" s="16" t="s">
        <v>335</v>
      </c>
      <c r="W199" s="12" t="s">
        <v>625</v>
      </c>
      <c r="X199" s="12" t="s">
        <v>1362</v>
      </c>
      <c r="Z199" s="33" t="s">
        <v>1337</v>
      </c>
    </row>
    <row r="200" spans="1:26" x14ac:dyDescent="0.2">
      <c r="N200" s="29"/>
      <c r="V200" t="s">
        <v>975</v>
      </c>
      <c r="W200" s="12" t="s">
        <v>626</v>
      </c>
      <c r="X200" s="12" t="s">
        <v>1346</v>
      </c>
      <c r="Z200" s="4" t="s">
        <v>1345</v>
      </c>
    </row>
    <row r="201" spans="1:26" x14ac:dyDescent="0.35">
      <c r="N201" s="29"/>
      <c r="V201" s="16" t="s">
        <v>434</v>
      </c>
      <c r="W201" s="12" t="s">
        <v>625</v>
      </c>
      <c r="X201" s="12" t="s">
        <v>1356</v>
      </c>
      <c r="Z201" s="33" t="s">
        <v>1352</v>
      </c>
    </row>
    <row r="202" spans="1:26" x14ac:dyDescent="0.35">
      <c r="N202" s="29"/>
      <c r="V202" s="16" t="s">
        <v>385</v>
      </c>
      <c r="W202" s="12" t="s">
        <v>627</v>
      </c>
      <c r="X202" s="12" t="s">
        <v>604</v>
      </c>
      <c r="Z202" s="33" t="s">
        <v>1340</v>
      </c>
    </row>
    <row r="203" spans="1:26" x14ac:dyDescent="0.35">
      <c r="N203" s="29"/>
      <c r="V203" s="16" t="s">
        <v>398</v>
      </c>
      <c r="W203" s="12" t="s">
        <v>625</v>
      </c>
      <c r="X203" s="12" t="s">
        <v>617</v>
      </c>
      <c r="Z203" s="33" t="s">
        <v>573</v>
      </c>
    </row>
    <row r="204" spans="1:26" x14ac:dyDescent="0.35">
      <c r="N204" s="29"/>
      <c r="V204" s="16" t="s">
        <v>400</v>
      </c>
      <c r="W204" s="12" t="s">
        <v>628</v>
      </c>
      <c r="X204" s="12" t="s">
        <v>400</v>
      </c>
      <c r="Z204" s="33" t="s">
        <v>1353</v>
      </c>
    </row>
    <row r="205" spans="1:26" x14ac:dyDescent="0.35">
      <c r="N205" s="29"/>
      <c r="V205" s="16" t="s">
        <v>482</v>
      </c>
      <c r="W205" s="12" t="s">
        <v>625</v>
      </c>
      <c r="X205" s="12" t="s">
        <v>1357</v>
      </c>
      <c r="Z205" s="33" t="s">
        <v>1354</v>
      </c>
    </row>
    <row r="206" spans="1:26" x14ac:dyDescent="0.35">
      <c r="N206" s="29"/>
      <c r="V206" s="16" t="s">
        <v>402</v>
      </c>
      <c r="W206" s="12" t="s">
        <v>628</v>
      </c>
      <c r="X206" s="12" t="s">
        <v>628</v>
      </c>
      <c r="Z206" s="33" t="s">
        <v>1355</v>
      </c>
    </row>
    <row r="207" spans="1:26" x14ac:dyDescent="0.35">
      <c r="N207" s="29"/>
      <c r="V207" s="16" t="s">
        <v>376</v>
      </c>
      <c r="W207" s="12" t="s">
        <v>627</v>
      </c>
      <c r="X207" s="12" t="s">
        <v>603</v>
      </c>
      <c r="Z207" s="33" t="s">
        <v>1338</v>
      </c>
    </row>
    <row r="208" spans="1:26" x14ac:dyDescent="0.35">
      <c r="N208" s="29"/>
      <c r="V208" s="16" t="s">
        <v>388</v>
      </c>
      <c r="W208" s="12" t="s">
        <v>625</v>
      </c>
      <c r="X208" s="12" t="s">
        <v>1362</v>
      </c>
      <c r="Z208" s="33" t="s">
        <v>1341</v>
      </c>
    </row>
    <row r="209" spans="14:26" x14ac:dyDescent="0.35">
      <c r="N209" s="29"/>
      <c r="V209" s="16" t="s">
        <v>971</v>
      </c>
      <c r="W209" s="12" t="s">
        <v>626</v>
      </c>
      <c r="X209" s="12" t="s">
        <v>615</v>
      </c>
      <c r="Z209" s="33" t="s">
        <v>1358</v>
      </c>
    </row>
    <row r="210" spans="14:26" x14ac:dyDescent="0.35">
      <c r="N210" s="29"/>
      <c r="V210" s="16" t="s">
        <v>392</v>
      </c>
      <c r="W210" s="12" t="s">
        <v>625</v>
      </c>
      <c r="X210" s="12" t="s">
        <v>1362</v>
      </c>
      <c r="Z210" s="33" t="s">
        <v>1359</v>
      </c>
    </row>
    <row r="211" spans="14:26" x14ac:dyDescent="0.35">
      <c r="N211" s="29"/>
      <c r="V211" s="16" t="s">
        <v>379</v>
      </c>
      <c r="W211" s="12" t="s">
        <v>624</v>
      </c>
      <c r="X211" s="12" t="s">
        <v>608</v>
      </c>
      <c r="Z211" s="33" t="s">
        <v>1339</v>
      </c>
    </row>
    <row r="212" spans="14:26" x14ac:dyDescent="0.35">
      <c r="N212" s="29"/>
      <c r="V212" s="16" t="s">
        <v>1361</v>
      </c>
      <c r="W212" s="12" t="s">
        <v>625</v>
      </c>
      <c r="X212" s="12" t="s">
        <v>1362</v>
      </c>
      <c r="Z212" s="33" t="s">
        <v>1360</v>
      </c>
    </row>
    <row r="213" spans="14:26" x14ac:dyDescent="0.35">
      <c r="N213" s="29"/>
      <c r="V213" s="16" t="s">
        <v>396</v>
      </c>
      <c r="W213" s="12" t="s">
        <v>627</v>
      </c>
      <c r="X213" s="12" t="s">
        <v>603</v>
      </c>
      <c r="Z213" s="33" t="s">
        <v>1363</v>
      </c>
    </row>
    <row r="214" spans="14:26" x14ac:dyDescent="0.35">
      <c r="N214" s="29"/>
      <c r="V214" s="16" t="s">
        <v>406</v>
      </c>
      <c r="W214" s="12" t="s">
        <v>625</v>
      </c>
      <c r="X214" s="12" t="s">
        <v>1362</v>
      </c>
      <c r="Z214" s="33" t="s">
        <v>1364</v>
      </c>
    </row>
    <row r="215" spans="14:26" x14ac:dyDescent="0.35">
      <c r="N215" s="29"/>
      <c r="V215" s="16" t="s">
        <v>180</v>
      </c>
      <c r="W215" s="12" t="s">
        <v>625</v>
      </c>
      <c r="X215" s="12" t="s">
        <v>1362</v>
      </c>
      <c r="Z215" s="33" t="s">
        <v>1299</v>
      </c>
    </row>
    <row r="216" spans="14:26" x14ac:dyDescent="0.35">
      <c r="N216" s="29"/>
      <c r="V216" s="16" t="s">
        <v>408</v>
      </c>
      <c r="W216" s="12" t="s">
        <v>628</v>
      </c>
      <c r="X216" s="12" t="s">
        <v>628</v>
      </c>
      <c r="Z216" s="33" t="s">
        <v>1365</v>
      </c>
    </row>
    <row r="217" spans="14:26" x14ac:dyDescent="0.35">
      <c r="N217" s="29"/>
      <c r="V217" s="16" t="s">
        <v>413</v>
      </c>
      <c r="W217" s="12" t="s">
        <v>625</v>
      </c>
      <c r="X217" s="12" t="s">
        <v>1362</v>
      </c>
      <c r="Z217" s="33" t="s">
        <v>1366</v>
      </c>
    </row>
    <row r="218" spans="14:26" x14ac:dyDescent="0.35">
      <c r="N218" s="29"/>
      <c r="V218" s="16" t="s">
        <v>420</v>
      </c>
      <c r="W218" s="12" t="s">
        <v>625</v>
      </c>
      <c r="X218" s="12" t="s">
        <v>1362</v>
      </c>
      <c r="Z218" s="33" t="s">
        <v>1367</v>
      </c>
    </row>
    <row r="219" spans="14:26" x14ac:dyDescent="0.35">
      <c r="N219" s="29"/>
      <c r="V219" s="16" t="s">
        <v>423</v>
      </c>
      <c r="W219" s="12" t="s">
        <v>626</v>
      </c>
      <c r="X219" s="12" t="s">
        <v>615</v>
      </c>
      <c r="Z219" s="33" t="s">
        <v>1369</v>
      </c>
    </row>
    <row r="220" spans="14:26" x14ac:dyDescent="0.35">
      <c r="N220" s="29"/>
      <c r="V220" s="16" t="s">
        <v>426</v>
      </c>
      <c r="W220" s="12" t="s">
        <v>625</v>
      </c>
      <c r="X220" s="12" t="s">
        <v>1362</v>
      </c>
      <c r="Z220" s="33" t="s">
        <v>1370</v>
      </c>
    </row>
    <row r="221" spans="14:26" x14ac:dyDescent="0.35">
      <c r="N221" s="29"/>
      <c r="V221" s="16" t="s">
        <v>430</v>
      </c>
      <c r="W221" s="12" t="s">
        <v>625</v>
      </c>
      <c r="X221" s="12" t="s">
        <v>1356</v>
      </c>
      <c r="Z221" s="33" t="s">
        <v>1371</v>
      </c>
    </row>
    <row r="222" spans="14:26" x14ac:dyDescent="0.35">
      <c r="N222" s="29"/>
      <c r="V222" s="16" t="s">
        <v>439</v>
      </c>
      <c r="W222" s="12" t="s">
        <v>628</v>
      </c>
      <c r="X222" s="12" t="s">
        <v>628</v>
      </c>
      <c r="Z222" s="33" t="s">
        <v>1372</v>
      </c>
    </row>
    <row r="223" spans="14:26" x14ac:dyDescent="0.35">
      <c r="N223" s="29"/>
      <c r="V223" s="16" t="s">
        <v>443</v>
      </c>
      <c r="W223" s="12" t="s">
        <v>625</v>
      </c>
      <c r="X223" s="12" t="s">
        <v>1362</v>
      </c>
      <c r="Z223" s="33" t="s">
        <v>1373</v>
      </c>
    </row>
    <row r="224" spans="14:26" x14ac:dyDescent="0.35">
      <c r="N224" s="29"/>
      <c r="V224" s="16" t="s">
        <v>444</v>
      </c>
      <c r="W224" s="12" t="s">
        <v>628</v>
      </c>
      <c r="X224" s="12" t="s">
        <v>184</v>
      </c>
      <c r="Z224" s="33" t="s">
        <v>1374</v>
      </c>
    </row>
    <row r="225" spans="14:26" x14ac:dyDescent="0.35">
      <c r="N225" s="29"/>
      <c r="V225" s="16" t="s">
        <v>448</v>
      </c>
      <c r="W225" s="12" t="s">
        <v>626</v>
      </c>
      <c r="X225" s="12" t="s">
        <v>616</v>
      </c>
      <c r="Z225" s="33" t="s">
        <v>1333</v>
      </c>
    </row>
    <row r="226" spans="14:26" x14ac:dyDescent="0.35">
      <c r="N226" s="29"/>
      <c r="V226" s="16" t="s">
        <v>449</v>
      </c>
      <c r="W226" s="12" t="s">
        <v>625</v>
      </c>
      <c r="X226" s="12" t="s">
        <v>1362</v>
      </c>
      <c r="Z226" s="33" t="s">
        <v>1368</v>
      </c>
    </row>
    <row r="227" spans="14:26" x14ac:dyDescent="0.35">
      <c r="N227" s="29"/>
      <c r="V227" s="16" t="s">
        <v>456</v>
      </c>
      <c r="W227" s="12" t="s">
        <v>625</v>
      </c>
      <c r="X227" s="12" t="s">
        <v>1362</v>
      </c>
      <c r="Z227" s="33" t="s">
        <v>569</v>
      </c>
    </row>
    <row r="228" spans="14:26" x14ac:dyDescent="0.35">
      <c r="V228" s="16" t="s">
        <v>460</v>
      </c>
      <c r="W228" s="12" t="s">
        <v>625</v>
      </c>
      <c r="X228" s="12" t="s">
        <v>1362</v>
      </c>
      <c r="Z228" s="33" t="s">
        <v>1375</v>
      </c>
    </row>
    <row r="229" spans="14:26" x14ac:dyDescent="0.35">
      <c r="V229" s="16" t="s">
        <v>461</v>
      </c>
      <c r="W229" s="12" t="s">
        <v>628</v>
      </c>
      <c r="X229" s="12" t="s">
        <v>622</v>
      </c>
      <c r="Z229" s="33" t="s">
        <v>1376</v>
      </c>
    </row>
    <row r="230" spans="14:26" x14ac:dyDescent="0.35">
      <c r="V230" s="16" t="s">
        <v>466</v>
      </c>
      <c r="W230" s="12" t="s">
        <v>625</v>
      </c>
      <c r="X230" s="12" t="s">
        <v>1362</v>
      </c>
      <c r="Z230" s="33" t="s">
        <v>1335</v>
      </c>
    </row>
    <row r="231" spans="14:26" x14ac:dyDescent="0.35">
      <c r="V231" s="16" t="s">
        <v>467</v>
      </c>
      <c r="W231" s="12" t="s">
        <v>628</v>
      </c>
      <c r="X231" s="12" t="s">
        <v>622</v>
      </c>
      <c r="Z231" s="33" t="s">
        <v>1377</v>
      </c>
    </row>
    <row r="232" spans="14:26" x14ac:dyDescent="0.35">
      <c r="V232" s="16" t="s">
        <v>473</v>
      </c>
      <c r="W232" s="12" t="s">
        <v>625</v>
      </c>
      <c r="X232" s="12" t="s">
        <v>1356</v>
      </c>
      <c r="Z232" s="33" t="s">
        <v>1336</v>
      </c>
    </row>
    <row r="233" spans="14:26" x14ac:dyDescent="0.35">
      <c r="V233" s="16" t="s">
        <v>477</v>
      </c>
      <c r="W233" s="12" t="s">
        <v>627</v>
      </c>
      <c r="X233" s="12" t="s">
        <v>602</v>
      </c>
      <c r="Z233" s="33" t="s">
        <v>1334</v>
      </c>
    </row>
    <row r="234" spans="14:26" x14ac:dyDescent="0.35">
      <c r="V234" s="16" t="s">
        <v>479</v>
      </c>
      <c r="W234" s="12" t="s">
        <v>625</v>
      </c>
      <c r="X234" s="12" t="s">
        <v>1362</v>
      </c>
      <c r="Z234" s="33" t="s">
        <v>1378</v>
      </c>
    </row>
    <row r="235" spans="14:26" x14ac:dyDescent="0.35">
      <c r="V235" s="16" t="s">
        <v>485</v>
      </c>
      <c r="W235" s="12" t="s">
        <v>628</v>
      </c>
      <c r="X235" s="12" t="s">
        <v>622</v>
      </c>
      <c r="Z235" s="33" t="s">
        <v>1379</v>
      </c>
    </row>
    <row r="236" spans="14:26" x14ac:dyDescent="0.35">
      <c r="V236" s="16" t="s">
        <v>486</v>
      </c>
      <c r="W236" s="12" t="s">
        <v>628</v>
      </c>
      <c r="X236" s="12" t="s">
        <v>622</v>
      </c>
      <c r="Z236" s="33" t="s">
        <v>1380</v>
      </c>
    </row>
  </sheetData>
  <autoFilter ref="A1:Z227" xr:uid="{C2294C9F-FEBA-0944-B1E3-7363C3DC5247}"/>
  <hyperlinks>
    <hyperlink ref="H2" r:id="rId1" display="https://www.worldometers.info/world-population/india-population/" xr:uid="{56202430-71B5-8948-B2F4-C78A7F84B715}"/>
    <hyperlink ref="H3" r:id="rId2" display="https://www.worldometers.info/world-population/china-population/" xr:uid="{9F8FD826-D67A-C140-BED5-7A2A660A9685}"/>
    <hyperlink ref="H4" r:id="rId3" display="https://www.worldometers.info/world-population/us-population/" xr:uid="{31BD22F4-BB53-7F49-91A8-A82996B4FB78}"/>
    <hyperlink ref="H5" r:id="rId4" display="https://www.worldometers.info/world-population/indonesia-population/" xr:uid="{5DC0BC64-CE32-7E4D-B02A-387F615BEA2D}"/>
    <hyperlink ref="H6" r:id="rId5" display="https://www.worldometers.info/world-population/pakistan-population/" xr:uid="{B843F9D0-63CB-214B-95AF-3C3AE70C24CE}"/>
    <hyperlink ref="H7" r:id="rId6" display="https://www.worldometers.info/world-population/nigeria-population/" xr:uid="{5A81997A-8183-B648-A1C0-4162753C3D53}"/>
    <hyperlink ref="H8" r:id="rId7" display="https://www.worldometers.info/world-population/brazil-population/" xr:uid="{22B42C95-F0EA-D042-A184-AE6C19225716}"/>
    <hyperlink ref="H9" r:id="rId8" display="https://www.worldometers.info/world-population/bangladesh-population/" xr:uid="{9696EC06-0600-1E43-BD1F-FEEB835F39CD}"/>
    <hyperlink ref="H10" r:id="rId9" display="https://www.worldometers.info/world-population/russia-population/" xr:uid="{02D0B5F4-318F-9241-89C6-877FC7E0DDBE}"/>
    <hyperlink ref="H11" r:id="rId10" display="https://www.worldometers.info/world-population/ethiopia-population/" xr:uid="{E02DAF6D-1EFD-4A41-9860-586475C60C73}"/>
    <hyperlink ref="H12" r:id="rId11" display="https://www.worldometers.info/world-population/mexico-population/" xr:uid="{A1D87BB1-8B02-BA46-98DD-C43CEA4F29AE}"/>
    <hyperlink ref="H13" r:id="rId12" display="https://www.worldometers.info/world-population/japan-population/" xr:uid="{81155024-9456-6446-B61D-DE459E0707F1}"/>
    <hyperlink ref="H14" r:id="rId13" display="https://www.worldometers.info/world-population/egypt-population/" xr:uid="{5F0F3316-2A72-F64B-A650-3197F1BA3FB0}"/>
    <hyperlink ref="H15" r:id="rId14" display="https://www.worldometers.info/world-population/philippines-population/" xr:uid="{B1D2A732-58FC-4D43-AE47-A6A436FE2263}"/>
    <hyperlink ref="H16" r:id="rId15" display="https://www.worldometers.info/world-population/democratic-republic-of-the-congo-population/" xr:uid="{CFEC8220-95D7-4244-AD9D-8822360AFA05}"/>
    <hyperlink ref="H17" r:id="rId16" display="https://www.worldometers.info/world-population/vietnam-population/" xr:uid="{79C04366-9AAF-9947-99AA-49D95F14BD97}"/>
    <hyperlink ref="H18" r:id="rId17" display="https://www.worldometers.info/world-population/iran-population/" xr:uid="{1629AE66-98EA-8F4D-B5CA-77496FD4B0E5}"/>
    <hyperlink ref="H19" r:id="rId18" display="https://www.worldometers.info/world-population/turkey-population/" xr:uid="{2792F7C3-75B7-7D43-8BD3-98118D291E71}"/>
    <hyperlink ref="H20" r:id="rId19" display="https://www.worldometers.info/world-population/germany-population/" xr:uid="{1F1D5B28-7945-D244-8E1D-2D4461FE2D15}"/>
    <hyperlink ref="H21" r:id="rId20" display="https://www.worldometers.info/world-population/thailand-population/" xr:uid="{CFFDF0A1-0601-194F-BB0F-3C98BB1D49BB}"/>
    <hyperlink ref="H22" r:id="rId21" display="https://www.worldometers.info/world-population/tanzania-population/" xr:uid="{20B5D52D-75CA-B047-8219-9548083A5533}"/>
    <hyperlink ref="H23" r:id="rId22" display="https://www.worldometers.info/world-population/uk-population/" xr:uid="{BD01E786-12DF-794F-9DFD-9B07C2F18449}"/>
    <hyperlink ref="H24" r:id="rId23" display="https://www.worldometers.info/world-population/france-population/" xr:uid="{6C464C0F-FB53-9D4C-B88F-CAB8F1853F4E}"/>
    <hyperlink ref="H25" r:id="rId24" display="https://www.worldometers.info/world-population/south-africa-population/" xr:uid="{B675B354-E276-0749-91B9-A8A596872557}"/>
    <hyperlink ref="H26" r:id="rId25" display="https://www.worldometers.info/world-population/italy-population/" xr:uid="{6D668EFF-CDC5-DF4F-AFDE-32639F8B3AFA}"/>
    <hyperlink ref="H27" r:id="rId26" display="https://www.worldometers.info/world-population/kenya-population/" xr:uid="{1B44A3C5-F41B-7047-9B13-4674F11545AD}"/>
    <hyperlink ref="H28" r:id="rId27" display="https://www.worldometers.info/world-population/myanmar-population/" xr:uid="{BD30DFCE-1D10-C74A-AA53-D0DBF857AC80}"/>
    <hyperlink ref="H29" r:id="rId28" display="https://www.worldometers.info/world-population/colombia-population/" xr:uid="{3226FFC5-D661-4F4D-8073-918D6EB9F32D}"/>
    <hyperlink ref="H30" r:id="rId29" display="https://www.worldometers.info/world-population/south-korea-population/" xr:uid="{13A83788-E40E-AB47-8C13-5F5A476B2052}"/>
    <hyperlink ref="H31" r:id="rId30" display="https://www.worldometers.info/world-population/sudan-population/" xr:uid="{25215445-C969-9345-9219-4907B601BAAB}"/>
    <hyperlink ref="H32" r:id="rId31" display="https://www.worldometers.info/world-population/uganda-population/" xr:uid="{53994F22-7BD8-3B47-A5AB-E973CB957475}"/>
    <hyperlink ref="H33" r:id="rId32" display="https://www.worldometers.info/world-population/spain-population/" xr:uid="{29FF8E5B-56EC-6449-99BE-0438CD8718DC}"/>
    <hyperlink ref="H34" r:id="rId33" display="https://www.worldometers.info/world-population/algeria-population/" xr:uid="{178400E7-761E-BE44-9006-7582176C06AF}"/>
    <hyperlink ref="H35" r:id="rId34" display="https://www.worldometers.info/world-population/iraq-population/" xr:uid="{FE2E7E14-CB44-754B-B1A0-E8A8B57162B6}"/>
    <hyperlink ref="H36" r:id="rId35" display="https://www.worldometers.info/world-population/argentina-population/" xr:uid="{7D3A9D65-D627-EE4F-92F6-4CC0AE8F87A7}"/>
    <hyperlink ref="H37" r:id="rId36" display="https://www.worldometers.info/world-population/afghanistan-population/" xr:uid="{28383125-0D71-8F44-A961-E166BA671F18}"/>
    <hyperlink ref="H38" r:id="rId37" display="https://www.worldometers.info/world-population/yemen-population/" xr:uid="{E5F49A59-89C0-7D4E-A3B1-FAFBE1B77FF3}"/>
    <hyperlink ref="H39" r:id="rId38" display="https://www.worldometers.info/world-population/canada-population/" xr:uid="{AE9C449D-7B74-F142-8B3C-146232C63393}"/>
    <hyperlink ref="H40" r:id="rId39" display="https://www.worldometers.info/world-population/angola-population/" xr:uid="{50A6961A-C890-9D4D-A4FE-E5D636534B17}"/>
    <hyperlink ref="H41" r:id="rId40" display="https://www.worldometers.info/world-population/ukraine-population/" xr:uid="{4C3794FF-D45B-7E49-9ACB-7EB5F782E4D8}"/>
    <hyperlink ref="H42" r:id="rId41" display="https://www.worldometers.info/world-population/morocco-population/" xr:uid="{4274976D-DABF-AF4D-A973-0B9DCCFF1819}"/>
    <hyperlink ref="H43" r:id="rId42" display="https://www.worldometers.info/world-population/poland-population/" xr:uid="{27479E73-00CE-E94A-9A2A-B012E5FDB0F7}"/>
    <hyperlink ref="H44" r:id="rId43" display="https://www.worldometers.info/world-population/uzbekistan-population/" xr:uid="{3627FF05-EB0D-F543-B7C9-3CFBB38FB2F1}"/>
    <hyperlink ref="H45" r:id="rId44" display="https://www.worldometers.info/world-population/malaysia-population/" xr:uid="{BB85CD6E-2A27-C14F-8326-D9A94552D04A}"/>
    <hyperlink ref="H46" r:id="rId45" display="https://www.worldometers.info/world-population/mozambique-population/" xr:uid="{BF1C7F63-6CC2-0944-A808-C7696537A34A}"/>
    <hyperlink ref="H47" r:id="rId46" display="https://www.worldometers.info/world-population/ghana-population/" xr:uid="{13F6A385-F411-1440-B013-AF22EE8329D3}"/>
    <hyperlink ref="H48" r:id="rId47" display="https://www.worldometers.info/world-population/peru-population/" xr:uid="{D50F5367-3CDF-DF4F-94E8-0CA1D2BFA298}"/>
    <hyperlink ref="H49" r:id="rId48" display="https://www.worldometers.info/world-population/saudi-arabia-population/" xr:uid="{F5CE6000-7BAC-D043-BB3E-4CBB6A8E68C6}"/>
    <hyperlink ref="H50" r:id="rId49" display="https://www.worldometers.info/world-population/madagascar-population/" xr:uid="{C7BAD107-2B22-0A4A-A0B0-C0E53EABD5F9}"/>
    <hyperlink ref="H51" r:id="rId50" display="https://www.worldometers.info/world-population/cote-d-ivoire-population/" xr:uid="{F3EE98CD-66EC-CC48-81F8-AFD0F46AF9D1}"/>
    <hyperlink ref="H52" r:id="rId51" display="https://www.worldometers.info/world-population/cameroon-population/" xr:uid="{E460DC95-0F88-A940-B2F4-46C85EF14CFC}"/>
    <hyperlink ref="H53" r:id="rId52" display="https://www.worldometers.info/world-population/nepal-population/" xr:uid="{7C5D9F55-4E89-6A40-9A2F-AF659F06B909}"/>
    <hyperlink ref="H54" r:id="rId53" display="https://www.worldometers.info/world-population/venezuela-population/" xr:uid="{8DFAA262-F874-234C-94ED-32C00DAEFFCB}"/>
    <hyperlink ref="H55" r:id="rId54" display="https://www.worldometers.info/world-population/niger-population/" xr:uid="{EE7827AC-02A9-0247-88E3-338E80F60C87}"/>
    <hyperlink ref="H56" r:id="rId55" display="https://www.worldometers.info/world-population/australia-population/" xr:uid="{781EC0DB-2AE8-F948-8A88-EF259C48A4C8}"/>
    <hyperlink ref="H57" r:id="rId56" display="https://www.worldometers.info/world-population/north-korea-population/" xr:uid="{987B4903-9356-7543-B2A5-BAACE1ADD68E}"/>
    <hyperlink ref="H58" r:id="rId57" display="https://www.worldometers.info/world-population/syria-population/" xr:uid="{CA0E3C15-4193-A04D-8622-D9E25D73E676}"/>
    <hyperlink ref="H59" r:id="rId58" display="https://www.worldometers.info/world-population/mali-population/" xr:uid="{61E20D86-1673-1D4F-88BC-6DA7D58E80DF}"/>
    <hyperlink ref="H60" r:id="rId59" display="https://www.worldometers.info/world-population/burkina-faso-population/" xr:uid="{6B746DD1-6EB8-A94A-9F92-B0A972F1B9FC}"/>
    <hyperlink ref="H61" r:id="rId60" display="https://www.worldometers.info/world-population/sri-lanka-population/" xr:uid="{0E4DA3F8-7604-0D42-9B6E-CC17A4C93E64}"/>
    <hyperlink ref="H62" r:id="rId61" display="https://www.worldometers.info/world-population/malawi-population/" xr:uid="{E4F3C212-193C-8242-B01C-E71012D00E1D}"/>
    <hyperlink ref="H63" r:id="rId62" display="https://www.worldometers.info/world-population/zambia-population/" xr:uid="{F6002755-77F9-DE4E-8A60-4CA8ADB54A53}"/>
    <hyperlink ref="H64" r:id="rId63" display="https://www.worldometers.info/world-population/chad-population/" xr:uid="{3A616D1F-741D-8B42-9AA0-2A9FF74436EF}"/>
    <hyperlink ref="H65" r:id="rId64" display="https://www.worldometers.info/world-population/kazakhstan-population/" xr:uid="{B173D345-C140-D644-8AF5-BC31BCC8A6E1}"/>
    <hyperlink ref="H66" r:id="rId65" display="https://www.worldometers.info/world-population/chile-population/" xr:uid="{2FD426AC-674E-074C-B457-7A05ABA3D523}"/>
    <hyperlink ref="H67" r:id="rId66" display="https://www.worldometers.info/world-population/somalia-population/" xr:uid="{EDF10826-0A00-694F-A580-BD30106C5DBA}"/>
    <hyperlink ref="H68" r:id="rId67" display="https://www.worldometers.info/world-population/senegal-population/" xr:uid="{FB8587AB-980E-B544-A9E2-7EA68322B748}"/>
    <hyperlink ref="H69" r:id="rId68" display="https://www.worldometers.info/world-population/romania-population/" xr:uid="{62DD44D5-233A-DB42-BC6B-57B8A78E75E5}"/>
    <hyperlink ref="H70" r:id="rId69" display="https://www.worldometers.info/world-population/guatemala-population/" xr:uid="{D4420DA2-C720-F749-ACA5-721261D8C87D}"/>
    <hyperlink ref="H71" r:id="rId70" display="https://www.worldometers.info/world-population/netherlands-population/" xr:uid="{B9A38634-B738-314B-9A58-2F708559A39A}"/>
    <hyperlink ref="H72" r:id="rId71" display="https://www.worldometers.info/world-population/ecuador-population/" xr:uid="{659A9F52-6090-9046-A61D-5C2A5E731B82}"/>
    <hyperlink ref="H73" r:id="rId72" display="https://www.worldometers.info/world-population/cambodia-population/" xr:uid="{00346322-38C7-7B4C-A1A8-EB9646B75955}"/>
    <hyperlink ref="H74" r:id="rId73" display="https://www.worldometers.info/world-population/zimbabwe-population/" xr:uid="{6F0A8A75-5A2A-5048-970D-70DA64ADAC90}"/>
    <hyperlink ref="H75" r:id="rId74" display="https://www.worldometers.info/world-population/guinea-population/" xr:uid="{7ABFE61C-B433-F746-98D2-AF78E329A70D}"/>
    <hyperlink ref="H76" r:id="rId75" display="https://www.worldometers.info/world-population/benin-population/" xr:uid="{B9923DA4-6EB3-3544-ADF7-D390F6167024}"/>
    <hyperlink ref="H77" r:id="rId76" display="https://www.worldometers.info/world-population/rwanda-population/" xr:uid="{2EB34345-3FB1-5747-BDF4-168D925C3E7F}"/>
    <hyperlink ref="H78" r:id="rId77" display="https://www.worldometers.info/world-population/burundi-population/" xr:uid="{B67A8C0D-A263-D04C-97E9-A66A8D622CAB}"/>
    <hyperlink ref="H79" r:id="rId78" display="https://www.worldometers.info/world-population/bolivia-population/" xr:uid="{189DC1EF-D0E8-3E48-856C-85681FDE206A}"/>
    <hyperlink ref="H80" r:id="rId79" display="https://www.worldometers.info/world-population/tunisia-population/" xr:uid="{EDBA0E02-0EB3-604E-90C5-2EC3ECA7B790}"/>
    <hyperlink ref="H81" r:id="rId80" display="https://www.worldometers.info/world-population/south-sudan-population/" xr:uid="{B6E4499D-5585-A942-AD2D-0FBBE8336996}"/>
    <hyperlink ref="H82" r:id="rId81" display="https://www.worldometers.info/world-population/haiti-population/" xr:uid="{14FD8319-D977-6244-BBCD-8DBE34AD676E}"/>
    <hyperlink ref="H83" r:id="rId82" display="https://www.worldometers.info/world-population/belgium-population/" xr:uid="{1E53E7A6-4362-9742-96A5-F5CB6D1EEDAA}"/>
    <hyperlink ref="H84" r:id="rId83" display="https://www.worldometers.info/world-population/jordan-population/" xr:uid="{B5D115CA-9CAC-5246-8797-F2968D85D887}"/>
    <hyperlink ref="H85" r:id="rId84" display="https://www.worldometers.info/world-population/dominican-republic-population/" xr:uid="{6D2AEB71-90BB-E042-BE2B-E82802DE5D92}"/>
    <hyperlink ref="H86" r:id="rId85" display="https://www.worldometers.info/world-population/united-arab-emirates-population/" xr:uid="{2D48B2EA-816B-1A44-9ADB-186BC47B02EA}"/>
    <hyperlink ref="H87" r:id="rId86" display="https://www.worldometers.info/world-population/honduras-population/" xr:uid="{783E507A-43A7-FF49-B753-B28046CB6C65}"/>
    <hyperlink ref="H88" r:id="rId87" display="https://www.worldometers.info/world-population/cuba-population/" xr:uid="{65E48E33-23E7-7F42-9F7B-A66ACA0F9BCF}"/>
    <hyperlink ref="H89" r:id="rId88" display="https://www.worldometers.info/world-population/tajikistan-population/" xr:uid="{3D0F5663-2045-6E46-AF0F-7AF25B6DE7F6}"/>
    <hyperlink ref="H90" r:id="rId89" display="https://www.worldometers.info/world-population/papua-new-guinea-population/" xr:uid="{E2812B4F-DA70-AA47-8336-C32CD8C4F28F}"/>
    <hyperlink ref="H91" r:id="rId90" display="https://www.worldometers.info/world-population/sweden-population/" xr:uid="{24D43D59-5499-5B4C-AAB2-5CD8818D929E}"/>
    <hyperlink ref="H92" r:id="rId91" display="https://www.worldometers.info/world-population/czechia-population/" xr:uid="{B374B61F-0246-2842-8596-C793CAB728ED}"/>
    <hyperlink ref="H93" r:id="rId92" display="https://www.worldometers.info/world-population/portugal-population/" xr:uid="{EB15BB0A-7478-474F-9215-4D714C85B04A}"/>
    <hyperlink ref="H94" r:id="rId93" display="https://www.worldometers.info/world-population/azerbaijan-population/" xr:uid="{E1F2741B-69A2-AA48-8533-DDD228970EFC}"/>
    <hyperlink ref="H95" r:id="rId94" display="https://www.worldometers.info/world-population/greece-population/" xr:uid="{3D2B2ED4-208E-4A47-AB90-C83B5C3F9312}"/>
    <hyperlink ref="H96" r:id="rId95" display="https://www.worldometers.info/world-population/togo-population/" xr:uid="{31E767EF-E45C-D34B-BEF6-1D4C31A54A5A}"/>
    <hyperlink ref="H97" r:id="rId96" display="https://www.worldometers.info/world-population/hungary-population/" xr:uid="{FFAB3C78-AA30-014A-8842-AD669F4983B6}"/>
    <hyperlink ref="H98" r:id="rId97" display="https://www.worldometers.info/world-population/israel-population/" xr:uid="{846E41CD-F83D-804C-955E-FF2B9F64984D}"/>
    <hyperlink ref="H99" r:id="rId98" display="https://www.worldometers.info/world-population/austria-population/" xr:uid="{9ED6E89D-50F2-D04F-8030-A588BEB08FF6}"/>
    <hyperlink ref="H100" r:id="rId99" display="https://www.worldometers.info/world-population/belarus-population/" xr:uid="{66959203-C847-134A-862A-E5B9580FBE7C}"/>
    <hyperlink ref="H101" r:id="rId100" display="https://www.worldometers.info/world-population/switzerland-population/" xr:uid="{BEC3C7FC-78A9-7F4E-BF16-E8784ED40A6E}"/>
    <hyperlink ref="H102" r:id="rId101" display="https://www.worldometers.info/world-population/sierra-leone-population/" xr:uid="{7C084491-F010-6040-B8FC-B66D941DEE06}"/>
    <hyperlink ref="H103" r:id="rId102" display="https://www.worldometers.info/world-population/laos-population/" xr:uid="{B671A3E6-D4C1-6148-BF1F-CE9366CCFB9D}"/>
    <hyperlink ref="H104" r:id="rId103" display="https://www.worldometers.info/world-population/turkmenistan-population/" xr:uid="{94AA6F8F-CC90-334E-8372-56FFBE10FBE8}"/>
    <hyperlink ref="H105" r:id="rId104" display="https://www.worldometers.info/world-population/libya-population/" xr:uid="{B82894A3-3D13-EE42-ABE9-7BBA6930F2B6}"/>
    <hyperlink ref="H106" r:id="rId105" display="https://www.worldometers.info/world-population/kyrgyzstan-population/" xr:uid="{C4815728-BED7-D14E-B514-180967F514C3}"/>
    <hyperlink ref="H107" r:id="rId106" display="https://www.worldometers.info/world-population/paraguay-population/" xr:uid="{B4C2F092-B1D9-5442-8849-101458B9C72A}"/>
    <hyperlink ref="H108" r:id="rId107" display="https://www.worldometers.info/world-population/nicaragua-population/" xr:uid="{FB7D38BA-A241-D045-A5D8-E66BF2FA75BC}"/>
    <hyperlink ref="H109" r:id="rId108" display="https://www.worldometers.info/world-population/bulgaria-population/" xr:uid="{036C4060-F1CC-DC4B-BFCC-9EEBBACE032D}"/>
    <hyperlink ref="H110" r:id="rId109" display="https://www.worldometers.info/world-population/serbia-population/" xr:uid="{B91B215F-23DC-1944-AAE9-5C7EE2CE39FF}"/>
    <hyperlink ref="H111" r:id="rId110" display="https://www.worldometers.info/world-population/congo-population/" xr:uid="{D34577D9-D4CA-7E42-9F1C-FAE5B4FE7476}"/>
    <hyperlink ref="H112" r:id="rId111" display="https://www.worldometers.info/world-population/el-salvador-population/" xr:uid="{CA4F867A-AA63-D849-AF79-3BF360EDE20A}"/>
    <hyperlink ref="H113" r:id="rId112" display="https://www.worldometers.info/world-population/denmark-population/" xr:uid="{62C76C7F-DD3A-504F-B124-99E8B8AFDCAB}"/>
    <hyperlink ref="H114" r:id="rId113" display="https://www.worldometers.info/world-population/singapore-population/" xr:uid="{5395BA86-42AE-3840-AFA7-3E26FB4EC79B}"/>
    <hyperlink ref="H115" r:id="rId114" display="https://www.worldometers.info/world-population/lebanon-population/" xr:uid="{DF6E0412-9750-3A4D-9C78-CF07C2B6EDA1}"/>
    <hyperlink ref="H116" r:id="rId115" display="https://www.worldometers.info/world-population/liberia-population/" xr:uid="{4DB536D3-B539-394A-B38F-198B61A42DE2}"/>
    <hyperlink ref="H117" r:id="rId116" display="https://www.worldometers.info/world-population/finland-population/" xr:uid="{A3EBAC64-FA27-064B-AB8F-091D1E7A727D}"/>
    <hyperlink ref="H118" r:id="rId117" display="https://www.worldometers.info/world-population/norway-population/" xr:uid="{E4D20933-784C-2D44-AB6D-EAF14460B801}"/>
    <hyperlink ref="H119" r:id="rId118" display="https://www.worldometers.info/world-population/state-of-palestine-population/" xr:uid="{08F3164B-94AB-9143-B14C-4E176B40B278}"/>
    <hyperlink ref="H120" r:id="rId119" display="https://www.worldometers.info/world-population/central-african-republic-population/" xr:uid="{DA0AFF5A-82EA-054F-AF47-9EBB32037452}"/>
    <hyperlink ref="H121" r:id="rId120" display="https://www.worldometers.info/world-population/oman-population/" xr:uid="{AD30E038-B8CA-3F49-8F13-15B46508C0BA}"/>
    <hyperlink ref="H122" r:id="rId121" display="https://www.worldometers.info/world-population/slovakia-population/" xr:uid="{1978BC6A-4B8C-A440-B346-29CE5265E94B}"/>
    <hyperlink ref="H123" r:id="rId122" display="https://www.worldometers.info/world-population/mauritania-population/" xr:uid="{D4151E8B-37CD-5B47-A510-8725E15D227A}"/>
    <hyperlink ref="H124" r:id="rId123" display="https://www.worldometers.info/world-population/ireland-population/" xr:uid="{60345E18-FEAB-F144-A9EA-B02956DC6955}"/>
    <hyperlink ref="H125" r:id="rId124" display="https://www.worldometers.info/world-population/new-zealand-population/" xr:uid="{492F74EE-1682-BA46-9654-692479A16F32}"/>
    <hyperlink ref="H126" r:id="rId125" display="https://www.worldometers.info/world-population/costa-rica-population/" xr:uid="{535A966B-F5F2-9840-8BE2-42593212947D}"/>
    <hyperlink ref="H127" r:id="rId126" display="https://www.worldometers.info/world-population/kuwait-population/" xr:uid="{26DF1639-4794-2E4F-A02A-642C07CFB007}"/>
    <hyperlink ref="H128" r:id="rId127" display="https://www.worldometers.info/world-population/panama-population/" xr:uid="{ABD40227-834E-6D47-A522-5A9123816731}"/>
    <hyperlink ref="H129" r:id="rId128" display="https://www.worldometers.info/world-population/croatia-population/" xr:uid="{DAC89165-3A8D-7D40-AB0A-7A8B5DC2FB04}"/>
    <hyperlink ref="H130" r:id="rId129" display="https://www.worldometers.info/world-population/georgia-population/" xr:uid="{2E019A16-A37A-D847-A99C-6FE88E7F152B}"/>
    <hyperlink ref="H131" r:id="rId130" display="https://www.worldometers.info/world-population/eritrea-population/" xr:uid="{06DE04FD-ADD8-EF4E-B86B-8EF68075B6D9}"/>
    <hyperlink ref="H132" r:id="rId131" display="https://www.worldometers.info/world-population/mongolia-population/" xr:uid="{FC04469F-4A54-9544-B555-EA33E72C4E9B}"/>
    <hyperlink ref="H133" r:id="rId132" display="https://www.worldometers.info/world-population/uruguay-population/" xr:uid="{12DAD6ED-7299-6943-8359-4B9B8A6C54D9}"/>
    <hyperlink ref="H134" r:id="rId133" display="https://www.worldometers.info/world-population/bosnia-and-herzegovina-population/" xr:uid="{40A0FAE1-894A-9D4B-8707-749A06A83371}"/>
    <hyperlink ref="H135" r:id="rId134" display="https://www.worldometers.info/world-population/qatar-population/" xr:uid="{C7372FDB-1889-0C4A-BD55-B894860D4275}"/>
    <hyperlink ref="H136" r:id="rId135" display="https://www.worldometers.info/world-population/namibia-population/" xr:uid="{03554D94-D553-7C43-8525-46AD36820819}"/>
    <hyperlink ref="H137" r:id="rId136" display="https://www.worldometers.info/world-population/moldova-population/" xr:uid="{C258E894-8B27-564E-BD78-37C290EDCF0F}"/>
    <hyperlink ref="H138" r:id="rId137" display="https://www.worldometers.info/world-population/armenia-population/" xr:uid="{275C7CA9-A2ED-594D-8A61-085C8C4C9490}"/>
    <hyperlink ref="H139" r:id="rId138" display="https://www.worldometers.info/world-population/jamaica-population/" xr:uid="{79E5553B-10B5-5648-9057-0B78DC7F03BE}"/>
    <hyperlink ref="H140" r:id="rId139" display="https://www.worldometers.info/world-population/lithuania-population/" xr:uid="{94C33AF7-5A49-CD43-BC47-41F903D5E47A}"/>
    <hyperlink ref="H141" r:id="rId140" display="https://www.worldometers.info/world-population/gambia-population/" xr:uid="{B742E96E-575F-4345-82B7-A43C043875E3}"/>
    <hyperlink ref="H142" r:id="rId141" display="https://www.worldometers.info/world-population/albania-population/" xr:uid="{524BACE8-BBD2-3C4A-9313-B46020F36B59}"/>
    <hyperlink ref="H143" r:id="rId142" display="https://www.worldometers.info/world-population/gabon-population/" xr:uid="{78A08994-5EEE-FD4D-9CF6-2FCB5D5EB96C}"/>
    <hyperlink ref="H144" r:id="rId143" display="https://www.worldometers.info/world-population/botswana-population/" xr:uid="{F67DE062-B01C-1B45-AB20-5D0BE970D51A}"/>
    <hyperlink ref="H145" r:id="rId144" display="https://www.worldometers.info/world-population/lesotho-population/" xr:uid="{DD46EF19-4EA4-024C-AA4A-F867DA23BB4A}"/>
    <hyperlink ref="H146" r:id="rId145" display="https://www.worldometers.info/world-population/guinea-bissau-population/" xr:uid="{47CFA475-B7DC-164B-8C32-30BA01151D21}"/>
    <hyperlink ref="H147" r:id="rId146" display="https://www.worldometers.info/world-population/slovenia-population/" xr:uid="{123BBC74-D12F-6D4F-BEF6-E1D118D2D6C1}"/>
    <hyperlink ref="H148" r:id="rId147" display="https://www.worldometers.info/world-population/equatorial-guinea-population/" xr:uid="{038DC2F5-514A-5046-B9D1-348149CED0DB}"/>
    <hyperlink ref="H149" r:id="rId148" display="https://www.worldometers.info/world-population/latvia-population/" xr:uid="{089BBB6D-5094-094B-9A32-F4696CA80E67}"/>
    <hyperlink ref="H150" r:id="rId149" display="https://www.worldometers.info/world-population/north-macedonia-population/" xr:uid="{9BD03940-E27C-0443-915C-18745C5D25EE}"/>
    <hyperlink ref="H151" r:id="rId150" display="https://www.worldometers.info/world-population/bahrain-population/" xr:uid="{92519990-4783-194B-984C-CF239A6943B4}"/>
    <hyperlink ref="H152" r:id="rId151" display="https://www.worldometers.info/world-population/trinidad-and-tobago-population/" xr:uid="{C3C20784-1A0C-4749-9041-FDAC7BF5D92A}"/>
    <hyperlink ref="H153" r:id="rId152" display="https://www.worldometers.info/world-population/timor-leste-population/" xr:uid="{0589A33E-195E-9946-98A6-28AF428AB13E}"/>
    <hyperlink ref="H154" r:id="rId153" display="https://www.worldometers.info/world-population/cyprus-population/" xr:uid="{20FEE97D-2570-3F4F-9356-302C6DF06255}"/>
    <hyperlink ref="H155" r:id="rId154" display="https://www.worldometers.info/world-population/estonia-population/" xr:uid="{71E5429A-2157-F146-96D3-8485ECCE681A}"/>
    <hyperlink ref="H156" r:id="rId155" display="https://www.worldometers.info/world-population/mauritius-population/" xr:uid="{8D9140AE-5DC8-6940-BCD8-EB4FD9E49B85}"/>
    <hyperlink ref="H157" r:id="rId156" display="https://www.worldometers.info/world-population/swaziland-population/" xr:uid="{C44F5718-1A31-094A-B951-AC085BE2397A}"/>
    <hyperlink ref="H158" r:id="rId157" display="https://www.worldometers.info/world-population/djibouti-population/" xr:uid="{C51C5981-7DC4-C44A-86FA-F0707D86CDF8}"/>
    <hyperlink ref="H159" r:id="rId158" display="https://www.worldometers.info/world-population/fiji-population/" xr:uid="{74AE6E9E-F1FB-5843-93D6-264BB817F0E2}"/>
    <hyperlink ref="H160" r:id="rId159" display="https://www.worldometers.info/world-population/comoros-population/" xr:uid="{A9686FF5-4746-2549-82AF-AABCB96B9388}"/>
    <hyperlink ref="H161" r:id="rId160" display="https://www.worldometers.info/world-population/solomon-islands-population/" xr:uid="{4060F05B-7536-BF47-BF61-9BED6FFE06B5}"/>
    <hyperlink ref="H162" r:id="rId161" display="https://www.worldometers.info/world-population/guyana-population/" xr:uid="{407EF894-79D4-3D43-8FA6-3F743C3A1A92}"/>
    <hyperlink ref="H163" r:id="rId162" display="https://www.worldometers.info/world-population/bhutan-population/" xr:uid="{D0B98169-B2E8-5943-86EA-54FEE80BF973}"/>
    <hyperlink ref="H164" r:id="rId163" display="https://www.worldometers.info/world-population/luxembourg-population/" xr:uid="{91C11930-078C-5B47-96A8-453111F4C81D}"/>
    <hyperlink ref="H165" r:id="rId164" display="https://www.worldometers.info/world-population/suriname-population/" xr:uid="{4286EEB3-6A1F-F945-91B7-4A0BDB1F8022}"/>
    <hyperlink ref="H166" r:id="rId165" display="https://www.worldometers.info/world-population/montenegro-population/" xr:uid="{A9DC70D1-3C5C-FB45-A687-0F57B078E0EF}"/>
    <hyperlink ref="H167" r:id="rId166" display="https://www.worldometers.info/world-population/malta-population/" xr:uid="{F65BFDE6-DBC4-5143-A0F0-E3FE53EA4504}"/>
    <hyperlink ref="H168" r:id="rId167" display="https://www.worldometers.info/world-population/maldives-population/" xr:uid="{67A7B849-ECAC-9342-98E0-2B9F2D66A15A}"/>
    <hyperlink ref="H169" r:id="rId168" display="https://www.worldometers.info/world-population/cabo-verde-population/" xr:uid="{93A55954-7E28-E14D-91F8-FCD9136905B0}"/>
    <hyperlink ref="H170" r:id="rId169" display="https://www.worldometers.info/world-population/brunei-darussalam-population/" xr:uid="{4E3EF4E4-7C37-CC4C-8E76-0D22CAB343F1}"/>
    <hyperlink ref="H171" r:id="rId170" display="https://www.worldometers.info/world-population/belize-population/" xr:uid="{4B169493-CF9C-CA4F-BB03-A87254A633C6}"/>
    <hyperlink ref="H172" r:id="rId171" display="https://www.worldometers.info/world-population/bahamas-population/" xr:uid="{64EE51D6-F19B-FC47-8441-1E9C71060FC8}"/>
    <hyperlink ref="H173" r:id="rId172" display="https://www.worldometers.info/world-population/iceland-population/" xr:uid="{9EDE8537-A8C2-2941-8DC6-0661BFDC24F2}"/>
    <hyperlink ref="H174" r:id="rId173" display="https://www.worldometers.info/world-population/vanuatu-population/" xr:uid="{67BD80B7-259E-054B-BE20-0183C75313A3}"/>
    <hyperlink ref="H175" r:id="rId174" display="https://www.worldometers.info/world-population/barbados-population/" xr:uid="{7448E763-8311-264C-B8EA-614391535D1F}"/>
    <hyperlink ref="H176" r:id="rId175" display="https://www.worldometers.info/world-population/sao-tome-and-principe-population/" xr:uid="{4409E553-1C43-4D43-85FA-C51432F3BC77}"/>
    <hyperlink ref="H177" r:id="rId176" display="https://www.worldometers.info/world-population/samoa-population/" xr:uid="{FB1686DF-B2C3-B64D-B975-27B065E9701C}"/>
    <hyperlink ref="H178" r:id="rId177" display="https://www.worldometers.info/world-population/saint-lucia-population/" xr:uid="{418B760B-0903-8E48-967E-16C3C7D53AA1}"/>
    <hyperlink ref="H179" r:id="rId178" display="https://www.worldometers.info/world-population/kiribati-population/" xr:uid="{5ECE914B-6241-1F4A-B0AF-95F04D206E6F}"/>
    <hyperlink ref="H180" r:id="rId179" display="https://www.worldometers.info/world-population/seychelles-population/" xr:uid="{10774D5F-0D10-6F4B-AC85-9969453CDFB6}"/>
    <hyperlink ref="H181" r:id="rId180" display="https://www.worldometers.info/world-population/grenada-population/" xr:uid="{7771E2D9-34F1-374C-8093-9303C5054CE1}"/>
    <hyperlink ref="H182" r:id="rId181" display="https://www.worldometers.info/world-population/micronesia-population/" xr:uid="{9510F678-80EF-144B-B0AF-4D5B2FD802EE}"/>
    <hyperlink ref="H183" r:id="rId182" display="https://www.worldometers.info/world-population/tonga-population/" xr:uid="{1534F937-D549-FE48-8422-B168F6529055}"/>
    <hyperlink ref="H184" r:id="rId183" display="https://www.worldometers.info/world-population/saint-vincent-and-the-grenadines-population/" xr:uid="{127A182C-59E3-F849-9F26-CABFFD00D8DE}"/>
    <hyperlink ref="H185" r:id="rId184" display="https://www.worldometers.info/world-population/antigua-and-barbuda-population/" xr:uid="{177C6BEB-75A8-EE4B-8AAB-99EE62EDF5D1}"/>
    <hyperlink ref="H186" r:id="rId185" display="https://www.worldometers.info/world-population/andorra-population/" xr:uid="{216009A9-E80E-C041-8616-8F2E4A4D326F}"/>
    <hyperlink ref="H187" r:id="rId186" display="https://www.worldometers.info/world-population/dominica-population/" xr:uid="{F03F6B29-6A92-124B-9F14-42D7777FD116}"/>
    <hyperlink ref="H188" r:id="rId187" display="https://www.worldometers.info/world-population/saint-kitts-and-nevis-population/" xr:uid="{6C5A48D6-716F-3A45-8BB3-58F2E1D3152D}"/>
    <hyperlink ref="H189" r:id="rId188" display="https://www.worldometers.info/world-population/liechtenstein-population/" xr:uid="{DC1399A0-7947-A945-A5D8-1EACD2640280}"/>
    <hyperlink ref="H190" r:id="rId189" display="https://www.worldometers.info/world-population/monaco-population/" xr:uid="{2AA0DDB5-396D-5D4D-AFC5-83A2244CD970}"/>
    <hyperlink ref="H191" r:id="rId190" display="https://www.worldometers.info/world-population/marshall-islands-population/" xr:uid="{E4F73E16-4894-CF4B-BF28-3E8D6A93FC80}"/>
    <hyperlink ref="H192" r:id="rId191" display="https://www.worldometers.info/world-population/san-marino-population/" xr:uid="{89426494-1F79-A345-BD8B-9C607173587E}"/>
    <hyperlink ref="H193" r:id="rId192" display="https://www.worldometers.info/world-population/palau-population/" xr:uid="{AF4F5DF6-A1F4-8847-B37B-304617512937}"/>
    <hyperlink ref="H194" r:id="rId193" display="https://www.worldometers.info/world-population/nauru-population/" xr:uid="{33AC2DE8-C329-E841-A0E8-2B4649A0AB4B}"/>
    <hyperlink ref="H195" r:id="rId194" display="https://www.worldometers.info/world-population/tuvalu-population/" xr:uid="{964217D4-3F45-B546-8CB1-8F82D791C296}"/>
    <hyperlink ref="H196" r:id="rId195" display="https://www.worldometers.info/world-population/holy-see-population/" xr:uid="{F58819AA-0EAF-8847-BD00-1651EAB25385}"/>
    <hyperlink ref="V2" r:id="rId196" display="https://www.worldometers.info/world-population/india-population/" xr:uid="{29F25FF9-EFC6-CA47-8B7A-8F7B21257F10}"/>
    <hyperlink ref="V3" r:id="rId197" display="https://www.worldometers.info/world-population/china-population/" xr:uid="{B759F126-DE3F-1B41-B74A-684633C96DD9}"/>
    <hyperlink ref="V4" r:id="rId198" display="https://www.worldometers.info/world-population/us-population/" xr:uid="{77B1BA09-BF8A-CC4E-8FC7-2D4E5734A30F}"/>
    <hyperlink ref="V5" r:id="rId199" display="https://www.worldometers.info/world-population/indonesia-population/" xr:uid="{E15F24E2-99E2-1A47-8837-0EA5971144D4}"/>
    <hyperlink ref="V6" r:id="rId200" display="https://www.worldometers.info/world-population/pakistan-population/" xr:uid="{B258F1B8-0D6E-1B41-803C-9EC10040C6CC}"/>
    <hyperlink ref="V7" r:id="rId201" display="https://www.worldometers.info/world-population/nigeria-population/" xr:uid="{DB274A00-C377-FE41-8B17-8A42544137B3}"/>
    <hyperlink ref="V8" r:id="rId202" display="https://www.worldometers.info/world-population/brazil-population/" xr:uid="{03FBE6E7-E149-174F-A932-00B646B86239}"/>
    <hyperlink ref="V9" r:id="rId203" display="https://www.worldometers.info/world-population/bangladesh-population/" xr:uid="{30A2C2E1-F35B-0846-AEA2-D6C5A36E8D87}"/>
    <hyperlink ref="V10" r:id="rId204" display="https://www.worldometers.info/world-population/russia-population/" xr:uid="{B634851F-329A-CB4C-8DEC-A603BA245463}"/>
    <hyperlink ref="V11" r:id="rId205" display="https://www.worldometers.info/world-population/ethiopia-population/" xr:uid="{7A51533C-8AA4-0246-9DC7-0EFA97D313F6}"/>
    <hyperlink ref="V12" r:id="rId206" display="https://www.worldometers.info/world-population/mexico-population/" xr:uid="{B0D44CA2-3EF3-9449-9566-60A5081811A2}"/>
    <hyperlink ref="V13" r:id="rId207" display="https://www.worldometers.info/world-population/japan-population/" xr:uid="{AEDB767C-2534-C641-9ED1-8E6160F5D8A0}"/>
    <hyperlink ref="V14" r:id="rId208" display="https://www.worldometers.info/world-population/egypt-population/" xr:uid="{0097F015-E7B1-094D-8273-8E9FB257A9DA}"/>
    <hyperlink ref="V15" r:id="rId209" display="https://www.worldometers.info/world-population/philippines-population/" xr:uid="{A6A0D198-DFA0-5941-AA19-5079779DD5C6}"/>
    <hyperlink ref="V16" r:id="rId210" display="https://www.worldometers.info/world-population/democratic-republic-of-the-congo-population/" xr:uid="{71C7C933-AE83-1446-8805-2351C144EF47}"/>
    <hyperlink ref="V17" r:id="rId211" display="https://www.worldometers.info/world-population/vietnam-population/" xr:uid="{33DF4501-BDAC-D944-ACC4-B916EF604EDD}"/>
    <hyperlink ref="V18" r:id="rId212" display="https://www.worldometers.info/world-population/iran-population/" xr:uid="{9A7A9C16-B5B7-9549-959A-20299394A8BA}"/>
    <hyperlink ref="V19" r:id="rId213" display="https://www.worldometers.info/world-population/turkey-population/" xr:uid="{D07DEDD1-AD7A-CC48-A9AA-B73450E8A06F}"/>
    <hyperlink ref="V20" r:id="rId214" display="https://www.worldometers.info/world-population/germany-population/" xr:uid="{4E8CB3C1-1FCF-6E42-B234-0D255E089C4D}"/>
    <hyperlink ref="V21" r:id="rId215" display="https://www.worldometers.info/world-population/thailand-population/" xr:uid="{3DF699F2-C737-D046-A512-B507D68ABBCD}"/>
    <hyperlink ref="V22" r:id="rId216" display="https://www.worldometers.info/world-population/tanzania-population/" xr:uid="{2B504F6E-4E71-3644-B9EE-D04EEF4D5B2E}"/>
    <hyperlink ref="V23" r:id="rId217" display="https://www.worldometers.info/world-population/uk-population/" xr:uid="{DB3C1E93-E568-5C46-AD45-AF753B2C27F9}"/>
    <hyperlink ref="V24" r:id="rId218" display="https://www.worldometers.info/world-population/france-population/" xr:uid="{8728A15E-A48A-104C-B852-7EC8B4CB454B}"/>
    <hyperlink ref="V25" r:id="rId219" display="https://www.worldometers.info/world-population/south-africa-population/" xr:uid="{E1AC4A48-DE93-3849-B584-90E9B0A1DFB9}"/>
    <hyperlink ref="V26" r:id="rId220" display="https://www.worldometers.info/world-population/italy-population/" xr:uid="{36782E98-F4F5-F543-B1F0-F3A5ECC61936}"/>
    <hyperlink ref="V27" r:id="rId221" display="https://www.worldometers.info/world-population/kenya-population/" xr:uid="{75BE84E1-0E9F-1A43-8D80-1D13C1AECDB6}"/>
    <hyperlink ref="V28" r:id="rId222" display="https://www.worldometers.info/world-population/myanmar-population/" xr:uid="{70BF8615-4573-CA46-95BC-BAED04426221}"/>
    <hyperlink ref="V29" r:id="rId223" display="https://www.worldometers.info/world-population/colombia-population/" xr:uid="{61C42B5B-A8C7-4A47-BB0C-B851A21262CE}"/>
    <hyperlink ref="V30" r:id="rId224" display="https://www.worldometers.info/world-population/south-korea-population/" xr:uid="{3E076B1A-18E8-274F-91E6-E77D2021DE5B}"/>
    <hyperlink ref="V31" r:id="rId225" display="https://www.worldometers.info/world-population/sudan-population/" xr:uid="{32EF905B-EA00-044A-B60C-F1C77CF4685F}"/>
    <hyperlink ref="V32" r:id="rId226" display="https://www.worldometers.info/world-population/uganda-population/" xr:uid="{7A60C4DF-3A6B-4849-823D-4D3DF4D087F5}"/>
    <hyperlink ref="V33" r:id="rId227" display="https://www.worldometers.info/world-population/spain-population/" xr:uid="{06478457-2B73-1440-A193-A160782119A6}"/>
    <hyperlink ref="V34" r:id="rId228" display="https://www.worldometers.info/world-population/algeria-population/" xr:uid="{2231EF23-CA13-C84E-B425-2FB6C3BF9460}"/>
    <hyperlink ref="V35" r:id="rId229" display="https://www.worldometers.info/world-population/iraq-population/" xr:uid="{917CE696-A3BA-B540-834D-B4D8C0254ADC}"/>
    <hyperlink ref="V36" r:id="rId230" display="https://www.worldometers.info/world-population/argentina-population/" xr:uid="{4E4B4B94-28D3-7642-9362-81C925AE0543}"/>
    <hyperlink ref="V37" r:id="rId231" display="https://www.worldometers.info/world-population/afghanistan-population/" xr:uid="{F969EBC4-65D1-D640-B127-11D346BB08B9}"/>
    <hyperlink ref="V38" r:id="rId232" display="https://www.worldometers.info/world-population/yemen-population/" xr:uid="{9EBDDDCC-2574-3A47-8D65-C8D992B544B7}"/>
    <hyperlink ref="V39" r:id="rId233" display="https://www.worldometers.info/world-population/canada-population/" xr:uid="{137B02F5-9D5B-1B40-9BD3-6C8329B8005F}"/>
    <hyperlink ref="V40" r:id="rId234" display="https://www.worldometers.info/world-population/angola-population/" xr:uid="{5A02E773-7270-5541-A692-33EEFC16CFC3}"/>
    <hyperlink ref="V41" r:id="rId235" display="https://www.worldometers.info/world-population/ukraine-population/" xr:uid="{7F8836A9-033B-4140-B3D7-F42CAF6D5E5F}"/>
    <hyperlink ref="V42" r:id="rId236" display="https://www.worldometers.info/world-population/morocco-population/" xr:uid="{66D98CBE-1179-B94E-BBD9-F12C5EB2524A}"/>
    <hyperlink ref="V43" r:id="rId237" display="https://www.worldometers.info/world-population/poland-population/" xr:uid="{C0FCE727-0F0B-564A-929E-3EFF81AD3850}"/>
    <hyperlink ref="V44" r:id="rId238" display="https://www.worldometers.info/world-population/uzbekistan-population/" xr:uid="{3FCD6701-02D2-614B-8330-704D4084707B}"/>
    <hyperlink ref="V45" r:id="rId239" display="https://www.worldometers.info/world-population/malaysia-population/" xr:uid="{EBC7F703-FA37-E04E-BF09-0D52339CD7A9}"/>
    <hyperlink ref="V46" r:id="rId240" display="https://www.worldometers.info/world-population/mozambique-population/" xr:uid="{B53E2271-8278-F048-84F0-4B1CDCC832E7}"/>
    <hyperlink ref="V47" r:id="rId241" display="https://www.worldometers.info/world-population/ghana-population/" xr:uid="{C24EBECB-19C7-6745-AB3D-0033F95CFEAB}"/>
    <hyperlink ref="V48" r:id="rId242" display="https://www.worldometers.info/world-population/peru-population/" xr:uid="{D8D1DD12-C2DF-3046-9FDB-F07845E90D0F}"/>
    <hyperlink ref="V49" r:id="rId243" display="https://www.worldometers.info/world-population/saudi-arabia-population/" xr:uid="{BBCC8864-574D-3A45-A1FB-C0088CCBCB46}"/>
    <hyperlink ref="V50" r:id="rId244" display="https://www.worldometers.info/world-population/madagascar-population/" xr:uid="{CAA6E92E-7BD4-104B-96C3-5A2C6AD6C889}"/>
    <hyperlink ref="V51" r:id="rId245" display="https://www.worldometers.info/world-population/cote-d-ivoire-population/" xr:uid="{14FF6F42-36DD-0C4D-A5D5-C0D3F21E0031}"/>
    <hyperlink ref="V52" r:id="rId246" display="https://www.worldometers.info/world-population/cameroon-population/" xr:uid="{F9EDB091-25E8-D74F-AA31-8F469E55C33F}"/>
    <hyperlink ref="V53" r:id="rId247" display="https://www.worldometers.info/world-population/nepal-population/" xr:uid="{9B9195BD-6A3C-FC4E-B98F-86B285E64BA4}"/>
    <hyperlink ref="V54" r:id="rId248" display="https://www.worldometers.info/world-population/venezuela-population/" xr:uid="{24AFDEBD-F620-5A4F-B04A-05CBCA5125E8}"/>
    <hyperlink ref="V55" r:id="rId249" display="https://www.worldometers.info/world-population/niger-population/" xr:uid="{8ECEAC3E-CFBB-5A48-AFF6-976087490100}"/>
    <hyperlink ref="V56" r:id="rId250" display="https://www.worldometers.info/world-population/australia-population/" xr:uid="{303F44B6-F5D0-7F49-A98E-45708BEC78D8}"/>
    <hyperlink ref="V57" r:id="rId251" display="https://www.worldometers.info/world-population/north-korea-population/" xr:uid="{6804D10B-BC6A-7F46-85B8-981630B3A579}"/>
    <hyperlink ref="V58" r:id="rId252" display="https://www.worldometers.info/world-population/syria-population/" xr:uid="{FB3A837C-92AB-FD49-B6BB-643108C9905E}"/>
    <hyperlink ref="V59" r:id="rId253" display="https://www.worldometers.info/world-population/mali-population/" xr:uid="{D9DEB62F-5B56-874C-AF28-5AF89E3C2273}"/>
    <hyperlink ref="V60" r:id="rId254" display="https://www.worldometers.info/world-population/burkina-faso-population/" xr:uid="{7E9EEACB-A16E-0A47-95F6-722C61D363B6}"/>
    <hyperlink ref="V61" r:id="rId255" display="https://www.worldometers.info/world-population/sri-lanka-population/" xr:uid="{2140D9E4-96F1-4D49-8C7D-32E495DBB8D7}"/>
    <hyperlink ref="V62" r:id="rId256" display="https://www.worldometers.info/world-population/malawi-population/" xr:uid="{C0FD4986-701F-6C47-9D50-2C6961DA8D99}"/>
    <hyperlink ref="V63" r:id="rId257" display="https://www.worldometers.info/world-population/zambia-population/" xr:uid="{D1182040-8363-3840-8C9D-5060069CAF7D}"/>
    <hyperlink ref="V64" r:id="rId258" display="https://www.worldometers.info/world-population/chad-population/" xr:uid="{AE8F3347-4FDE-ED4D-8C55-304135009BA0}"/>
    <hyperlink ref="V65" r:id="rId259" display="https://www.worldometers.info/world-population/kazakhstan-population/" xr:uid="{B888C883-1D5C-E946-A704-E8C073A1C553}"/>
    <hyperlink ref="V66" r:id="rId260" display="https://www.worldometers.info/world-population/chile-population/" xr:uid="{E0B65813-8410-FE4B-BA3B-507B13E413F9}"/>
    <hyperlink ref="V67" r:id="rId261" display="https://www.worldometers.info/world-population/somalia-population/" xr:uid="{BAF8F287-E961-9F48-A1DD-A672C3619BAF}"/>
    <hyperlink ref="V68" r:id="rId262" display="https://www.worldometers.info/world-population/senegal-population/" xr:uid="{53F1C397-07B0-2745-B36C-2609DC7638E4}"/>
    <hyperlink ref="V69" r:id="rId263" display="https://www.worldometers.info/world-population/romania-population/" xr:uid="{CF395732-5D85-7849-AB07-3CCB2F5BE5DF}"/>
    <hyperlink ref="V70" r:id="rId264" display="https://www.worldometers.info/world-population/guatemala-population/" xr:uid="{970B47C1-E5ED-5A48-A065-24F0A684B2A4}"/>
    <hyperlink ref="V71" r:id="rId265" display="https://www.worldometers.info/world-population/netherlands-population/" xr:uid="{C068B19E-31C3-3143-AB73-E5F3FFA8175F}"/>
    <hyperlink ref="V72" r:id="rId266" display="https://www.worldometers.info/world-population/ecuador-population/" xr:uid="{7A764B0B-78A4-B142-81BA-BCD8D4E9605C}"/>
    <hyperlink ref="V73" r:id="rId267" display="https://www.worldometers.info/world-population/cambodia-population/" xr:uid="{4B5FBE60-40B3-984C-93A8-2E4AAFCE0F5F}"/>
    <hyperlink ref="V74" r:id="rId268" display="https://www.worldometers.info/world-population/zimbabwe-population/" xr:uid="{64F15806-7EDA-BA44-B420-23F699ADFFA2}"/>
    <hyperlink ref="V75" r:id="rId269" display="https://www.worldometers.info/world-population/guinea-population/" xr:uid="{945D107E-AC1C-074D-A0C2-040F58BD52BD}"/>
    <hyperlink ref="V76" r:id="rId270" display="https://www.worldometers.info/world-population/benin-population/" xr:uid="{7ACBA2F4-4E95-184F-8BD3-E7E8437C0547}"/>
    <hyperlink ref="V77" r:id="rId271" display="https://www.worldometers.info/world-population/rwanda-population/" xr:uid="{2E3F8406-C581-F74B-B2CC-95CDABB57B51}"/>
    <hyperlink ref="V78" r:id="rId272" display="https://www.worldometers.info/world-population/burundi-population/" xr:uid="{3C331918-B655-3545-BE9A-E4EFF9F1FAD9}"/>
    <hyperlink ref="V79" r:id="rId273" display="https://www.worldometers.info/world-population/bolivia-population/" xr:uid="{E7C9E129-0BD7-C341-9004-362F882C9F3E}"/>
    <hyperlink ref="V80" r:id="rId274" display="https://www.worldometers.info/world-population/tunisia-population/" xr:uid="{BAE92942-02CA-2546-A5A7-19A9C7615A92}"/>
    <hyperlink ref="V81" r:id="rId275" display="https://www.worldometers.info/world-population/south-sudan-population/" xr:uid="{2E520464-A78B-564F-93C8-57A6C50CC0B0}"/>
    <hyperlink ref="V82" r:id="rId276" display="https://www.worldometers.info/world-population/haiti-population/" xr:uid="{B9EB1852-4590-E440-B055-1452294E5F15}"/>
    <hyperlink ref="V83" r:id="rId277" display="https://www.worldometers.info/world-population/belgium-population/" xr:uid="{3177EA55-48AC-8E48-8BCC-BE80E4ECB6F1}"/>
    <hyperlink ref="V84" r:id="rId278" display="https://www.worldometers.info/world-population/jordan-population/" xr:uid="{CD94A20E-6697-4B45-A3C4-C810492252F1}"/>
    <hyperlink ref="V85" r:id="rId279" display="https://www.worldometers.info/world-population/dominican-republic-population/" xr:uid="{9B4BD3A6-B53D-9541-A222-F1459464DC2D}"/>
    <hyperlink ref="V86" r:id="rId280" display="https://www.worldometers.info/world-population/united-arab-emirates-population/" xr:uid="{3B0EA637-4CAC-AB4E-B178-5B8BF436665A}"/>
    <hyperlink ref="V87" r:id="rId281" display="https://www.worldometers.info/world-population/honduras-population/" xr:uid="{06E44105-FD66-544A-8C46-F1DBBCE04439}"/>
    <hyperlink ref="V88" r:id="rId282" display="https://www.worldometers.info/world-population/cuba-population/" xr:uid="{6548062E-B209-EF4F-B7CC-69D9A91BC638}"/>
    <hyperlink ref="V89" r:id="rId283" display="https://www.worldometers.info/world-population/tajikistan-population/" xr:uid="{BF42BADC-052F-8E45-8ADE-876F8BFEE45B}"/>
    <hyperlink ref="V90" r:id="rId284" display="https://www.worldometers.info/world-population/papua-new-guinea-population/" xr:uid="{47A0D860-015E-264B-8ECD-00EFC12E8F18}"/>
    <hyperlink ref="V91" r:id="rId285" display="https://www.worldometers.info/world-population/sweden-population/" xr:uid="{F6FE7F08-FB97-3145-84FF-3B72D553A7B1}"/>
    <hyperlink ref="V92" r:id="rId286" display="https://www.worldometers.info/world-population/czechia-population/" xr:uid="{50A95CE4-0CF1-234C-B8FC-6A17578E2E8D}"/>
    <hyperlink ref="V93" r:id="rId287" display="https://www.worldometers.info/world-population/portugal-population/" xr:uid="{0BD20C0C-B48C-B245-B3FB-6C32C5D2ABDC}"/>
    <hyperlink ref="V94" r:id="rId288" display="https://www.worldometers.info/world-population/azerbaijan-population/" xr:uid="{B8D85B51-197A-1F4C-92E5-7A0999596EC4}"/>
    <hyperlink ref="V95" r:id="rId289" display="https://www.worldometers.info/world-population/greece-population/" xr:uid="{6D4FE03A-7F6E-134B-8C61-712503554518}"/>
    <hyperlink ref="V96" r:id="rId290" display="https://www.worldometers.info/world-population/togo-population/" xr:uid="{C6968FA6-675C-E94C-A8A9-EF46DF00A8AE}"/>
    <hyperlink ref="V97" r:id="rId291" display="https://www.worldometers.info/world-population/hungary-population/" xr:uid="{8346B055-EEBB-4C43-8C7D-8B6490DC3578}"/>
    <hyperlink ref="V98" r:id="rId292" display="https://www.worldometers.info/world-population/israel-population/" xr:uid="{5D021ECB-EECB-4F45-9CB1-589EE705BD42}"/>
    <hyperlink ref="V99" r:id="rId293" display="https://www.worldometers.info/world-population/austria-population/" xr:uid="{AB6B91EE-7ACA-844E-9F66-5FB13F3804BC}"/>
    <hyperlink ref="V100" r:id="rId294" display="https://www.worldometers.info/world-population/belarus-population/" xr:uid="{CAE914B9-5D8A-454A-9F02-304F70D87553}"/>
    <hyperlink ref="V101" r:id="rId295" display="https://www.worldometers.info/world-population/switzerland-population/" xr:uid="{9E9407C5-142E-5B44-AA56-46F4B1356C2C}"/>
    <hyperlink ref="V102" r:id="rId296" display="https://www.worldometers.info/world-population/sierra-leone-population/" xr:uid="{5D9D4332-1ACC-D14B-BFED-1C1D660A560D}"/>
    <hyperlink ref="V103" r:id="rId297" display="https://www.worldometers.info/world-population/laos-population/" xr:uid="{19AE1F5B-BE09-D143-AC51-9761B9CCD3BA}"/>
    <hyperlink ref="V104" r:id="rId298" display="https://www.worldometers.info/world-population/turkmenistan-population/" xr:uid="{24A535B6-E203-5B47-B66F-87F295AE03E8}"/>
    <hyperlink ref="V105" r:id="rId299" display="https://www.worldometers.info/world-population/libya-population/" xr:uid="{4B59C283-0A1E-F94F-A241-AF39AB0B2B3E}"/>
    <hyperlink ref="V106" r:id="rId300" display="https://www.worldometers.info/world-population/kyrgyzstan-population/" xr:uid="{2E20DDA9-EA2A-0D47-8D0A-C3D15E161FF4}"/>
    <hyperlink ref="V107" r:id="rId301" display="https://www.worldometers.info/world-population/paraguay-population/" xr:uid="{313485EF-3834-184C-9624-B9F2EBA1DBBD}"/>
    <hyperlink ref="V108" r:id="rId302" display="https://www.worldometers.info/world-population/nicaragua-population/" xr:uid="{387279AB-34C5-D646-8905-7AFA77C73F95}"/>
    <hyperlink ref="V109" r:id="rId303" display="https://www.worldometers.info/world-population/bulgaria-population/" xr:uid="{4DFD66A5-2BAB-C942-837B-96AE89C862EE}"/>
    <hyperlink ref="V110" r:id="rId304" display="https://www.worldometers.info/world-population/serbia-population/" xr:uid="{0C59B694-A289-BE4E-8010-D47D545BE34D}"/>
    <hyperlink ref="V111" r:id="rId305" display="https://www.worldometers.info/world-population/congo-population/" xr:uid="{48FE4CA5-1CBC-1E44-8367-601078C161CE}"/>
    <hyperlink ref="V112" r:id="rId306" display="https://www.worldometers.info/world-population/el-salvador-population/" xr:uid="{6C25F912-5EC8-924A-A026-FD6551EBE49E}"/>
    <hyperlink ref="V113" r:id="rId307" display="https://www.worldometers.info/world-population/denmark-population/" xr:uid="{C69D906C-586E-5F48-8BF4-3DEFF1D49115}"/>
    <hyperlink ref="V114" r:id="rId308" display="https://www.worldometers.info/world-population/singapore-population/" xr:uid="{D9D3DE84-2C89-E549-820A-645C91390D8D}"/>
    <hyperlink ref="V115" r:id="rId309" display="https://www.worldometers.info/world-population/lebanon-population/" xr:uid="{A91B1B65-4D8C-9E44-B6C3-5FADFDD06373}"/>
    <hyperlink ref="V116" r:id="rId310" display="https://www.worldometers.info/world-population/liberia-population/" xr:uid="{8FD79D7D-6382-8B4B-9B96-91B712FB48BA}"/>
    <hyperlink ref="V117" r:id="rId311" display="https://www.worldometers.info/world-population/finland-population/" xr:uid="{8DDAECF9-512F-894D-BAA3-30C721859709}"/>
    <hyperlink ref="V118" r:id="rId312" display="https://www.worldometers.info/world-population/norway-population/" xr:uid="{13A523C8-9866-3F40-8266-7F7BDA38BFE4}"/>
    <hyperlink ref="V119" r:id="rId313" display="https://www.worldometers.info/world-population/state-of-palestine-population/" xr:uid="{0F8E927B-7C6E-4A4A-B16E-05500DD2F0C4}"/>
    <hyperlink ref="V120" r:id="rId314" display="https://www.worldometers.info/world-population/central-african-republic-population/" xr:uid="{6707699C-DABE-7244-B48D-5A1CAABFC4B9}"/>
    <hyperlink ref="V121" r:id="rId315" display="https://www.worldometers.info/world-population/oman-population/" xr:uid="{5372B6E2-903F-BA45-89BB-036EFBFABA7F}"/>
    <hyperlink ref="V122" r:id="rId316" display="https://www.worldometers.info/world-population/slovakia-population/" xr:uid="{9B49F084-FC3B-4A42-B0B0-410E25ADC13A}"/>
    <hyperlink ref="V123" r:id="rId317" display="https://www.worldometers.info/world-population/mauritania-population/" xr:uid="{C887A838-F376-3E42-867B-9AECC31EBF91}"/>
    <hyperlink ref="V124" r:id="rId318" display="https://www.worldometers.info/world-population/ireland-population/" xr:uid="{84F8CFF5-4ED9-C544-8F42-05BEC38B8296}"/>
    <hyperlink ref="V125" r:id="rId319" display="https://www.worldometers.info/world-population/new-zealand-population/" xr:uid="{BD1A8213-C5A8-CE41-B19B-1BAE81CB26BD}"/>
    <hyperlink ref="V126" r:id="rId320" display="https://www.worldometers.info/world-population/costa-rica-population/" xr:uid="{21E7D1E4-84A9-1948-8BDA-8453C1840D3F}"/>
    <hyperlink ref="V127" r:id="rId321" display="https://www.worldometers.info/world-population/kuwait-population/" xr:uid="{99C8A8BA-C22A-8441-9D45-A31831086C5F}"/>
    <hyperlink ref="V128" r:id="rId322" display="https://www.worldometers.info/world-population/panama-population/" xr:uid="{DD15B3C2-1884-6444-B90C-2F64C687587E}"/>
    <hyperlink ref="V129" r:id="rId323" display="https://www.worldometers.info/world-population/croatia-population/" xr:uid="{45E82B87-18DC-EE4B-8E43-03C2F152F084}"/>
    <hyperlink ref="V130" r:id="rId324" display="https://www.worldometers.info/world-population/georgia-population/" xr:uid="{6D159713-7989-E346-97FC-DC66AE96DFA9}"/>
    <hyperlink ref="V131" r:id="rId325" display="https://www.worldometers.info/world-population/eritrea-population/" xr:uid="{CE622D87-D909-554F-8599-8B3E70989D33}"/>
    <hyperlink ref="V132" r:id="rId326" display="https://www.worldometers.info/world-population/mongolia-population/" xr:uid="{2647D64C-609B-1947-95C4-D020886CBFC5}"/>
    <hyperlink ref="V133" r:id="rId327" display="https://www.worldometers.info/world-population/uruguay-population/" xr:uid="{A3509954-DFC3-9A4B-9279-DD7B9C23A8E1}"/>
    <hyperlink ref="V134" r:id="rId328" display="https://www.worldometers.info/world-population/bosnia-and-herzegovina-population/" xr:uid="{68B7AB60-6EBB-9047-B340-27DE492BADB1}"/>
    <hyperlink ref="V135" r:id="rId329" display="https://www.worldometers.info/world-population/qatar-population/" xr:uid="{6A29AE05-8C27-7C42-8DF7-8A485BDE964D}"/>
    <hyperlink ref="V136" r:id="rId330" display="https://www.worldometers.info/world-population/namibia-population/" xr:uid="{DC8D67CB-AA8C-DD4A-8105-F9E08A7C5C69}"/>
    <hyperlink ref="V137" r:id="rId331" display="https://www.worldometers.info/world-population/moldova-population/" xr:uid="{906704C0-83FF-BA45-839F-5DB16F150F97}"/>
    <hyperlink ref="V138" r:id="rId332" display="https://www.worldometers.info/world-population/armenia-population/" xr:uid="{47BEFEA0-1B8B-684C-9131-9A79C6282C6B}"/>
    <hyperlink ref="V139" r:id="rId333" display="https://www.worldometers.info/world-population/jamaica-population/" xr:uid="{65AA7865-556C-B241-B6DD-60AF006A9C3F}"/>
    <hyperlink ref="V140" r:id="rId334" display="https://www.worldometers.info/world-population/lithuania-population/" xr:uid="{519B966D-4164-EE4B-822C-11F997480E4E}"/>
    <hyperlink ref="V141" r:id="rId335" display="https://www.worldometers.info/world-population/gambia-population/" xr:uid="{FE6731B3-4DDE-BF45-99E2-40A21A3E284D}"/>
    <hyperlink ref="V142" r:id="rId336" display="https://www.worldometers.info/world-population/albania-population/" xr:uid="{F0B2A822-9270-694B-BD91-A94818227179}"/>
    <hyperlink ref="V143" r:id="rId337" display="https://www.worldometers.info/world-population/gabon-population/" xr:uid="{7A943090-BA7A-6B42-A39B-C77EC5CF921F}"/>
    <hyperlink ref="V144" r:id="rId338" display="https://www.worldometers.info/world-population/botswana-population/" xr:uid="{21C6AFE7-889E-0140-8F4E-EF6C26BB7283}"/>
    <hyperlink ref="V145" r:id="rId339" display="https://www.worldometers.info/world-population/lesotho-population/" xr:uid="{79C58905-D7AB-DE44-8694-1B315413F41F}"/>
    <hyperlink ref="V146" r:id="rId340" display="https://www.worldometers.info/world-population/guinea-bissau-population/" xr:uid="{0A2F4AC7-3E49-4440-88FF-311ED3E4BBB5}"/>
    <hyperlink ref="V147" r:id="rId341" display="https://www.worldometers.info/world-population/slovenia-population/" xr:uid="{354E9E0E-6DDE-0341-A1D6-377BD5A3C588}"/>
    <hyperlink ref="V148" r:id="rId342" display="https://www.worldometers.info/world-population/equatorial-guinea-population/" xr:uid="{68789CA6-3ED1-9F4B-B32E-ACD2250A53FB}"/>
    <hyperlink ref="V149" r:id="rId343" display="https://www.worldometers.info/world-population/latvia-population/" xr:uid="{8F00A3AF-798B-C94E-B521-EBABF1B0FC2B}"/>
    <hyperlink ref="V150" r:id="rId344" display="https://www.worldometers.info/world-population/north-macedonia-population/" xr:uid="{72932B1B-A4DD-C942-AC18-4778935552D7}"/>
    <hyperlink ref="V151" r:id="rId345" display="https://www.worldometers.info/world-population/bahrain-population/" xr:uid="{D7831DB1-4F5D-114B-8711-0CED9E7FE900}"/>
    <hyperlink ref="V152" r:id="rId346" display="https://www.worldometers.info/world-population/trinidad-and-tobago-population/" xr:uid="{BD65FC7E-E853-A448-BB5F-6F2E7A679BB7}"/>
    <hyperlink ref="V153" r:id="rId347" display="https://www.worldometers.info/world-population/timor-leste-population/" xr:uid="{AE049888-7328-584F-8B99-1B2F8B50FC12}"/>
    <hyperlink ref="V154" r:id="rId348" display="https://www.worldometers.info/world-population/cyprus-population/" xr:uid="{1DD78A05-EB9E-744E-952E-C2D172475306}"/>
    <hyperlink ref="V155" r:id="rId349" display="https://www.worldometers.info/world-population/estonia-population/" xr:uid="{BFC3DC2B-EA7A-534E-8A3E-1E9121ACF459}"/>
    <hyperlink ref="V156" r:id="rId350" display="https://www.worldometers.info/world-population/mauritius-population/" xr:uid="{69B24009-F6EC-7545-8063-8F5F8B9ECEBA}"/>
    <hyperlink ref="V157" r:id="rId351" display="https://www.worldometers.info/world-population/swaziland-population/" xr:uid="{4BABC99A-6D38-E341-9351-750D022C03B9}"/>
    <hyperlink ref="V158" r:id="rId352" display="https://www.worldometers.info/world-population/djibouti-population/" xr:uid="{E0B849DA-2C80-974E-ACD3-0FBE709B2D35}"/>
    <hyperlink ref="V159" r:id="rId353" display="https://www.worldometers.info/world-population/fiji-population/" xr:uid="{D6F1725E-621A-6D40-8E9B-1624A65F6CA6}"/>
    <hyperlink ref="V160" r:id="rId354" display="https://www.worldometers.info/world-population/comoros-population/" xr:uid="{546EE918-47FB-1D4C-AF65-4546C4485E80}"/>
    <hyperlink ref="V161" r:id="rId355" display="https://www.worldometers.info/world-population/solomon-islands-population/" xr:uid="{9823FACA-D460-A147-9746-54F26772E82B}"/>
    <hyperlink ref="V162" r:id="rId356" display="https://www.worldometers.info/world-population/guyana-population/" xr:uid="{45A99541-258A-6148-A41E-13CE573E632E}"/>
    <hyperlink ref="V163" r:id="rId357" display="https://www.worldometers.info/world-population/bhutan-population/" xr:uid="{C9A92F64-D48F-2C44-ADB9-345D19F1D7A8}"/>
    <hyperlink ref="V164" r:id="rId358" display="https://www.worldometers.info/world-population/luxembourg-population/" xr:uid="{55886D83-3B30-F342-B501-3226813BF317}"/>
    <hyperlink ref="V165" r:id="rId359" display="https://www.worldometers.info/world-population/suriname-population/" xr:uid="{8B905D91-82CE-7845-9846-91AE1EEEFB74}"/>
    <hyperlink ref="V166" r:id="rId360" display="https://www.worldometers.info/world-population/montenegro-population/" xr:uid="{080729BE-3E01-DD4A-8B10-82AD25F2C1C2}"/>
    <hyperlink ref="V167" r:id="rId361" display="https://www.worldometers.info/world-population/malta-population/" xr:uid="{D0EE645E-57E5-8D4D-95BD-B7C70CCD498A}"/>
    <hyperlink ref="V168" r:id="rId362" display="https://www.worldometers.info/world-population/maldives-population/" xr:uid="{B9D1A38E-36B2-E242-B459-D20652FD783A}"/>
    <hyperlink ref="V169" r:id="rId363" display="https://www.worldometers.info/world-population/cabo-verde-population/" xr:uid="{4D59A351-4D05-2946-8604-80D08D0C6197}"/>
    <hyperlink ref="V170" r:id="rId364" display="https://www.worldometers.info/world-population/brunei-darussalam-population/" xr:uid="{BB3321D8-ACDF-C546-BBE4-73E4850EAF6E}"/>
    <hyperlink ref="V171" r:id="rId365" display="https://www.worldometers.info/world-population/belize-population/" xr:uid="{BDD58EFF-907A-9C49-88D8-D42702261DAF}"/>
    <hyperlink ref="V172" r:id="rId366" display="https://www.worldometers.info/world-population/bahamas-population/" xr:uid="{E071A7BF-D022-CB43-93D7-B85C1BF43B4B}"/>
    <hyperlink ref="V173" r:id="rId367" display="https://www.worldometers.info/world-population/iceland-population/" xr:uid="{09D43D36-573D-E941-B620-081751E7A6F6}"/>
    <hyperlink ref="V174" r:id="rId368" display="https://www.worldometers.info/world-population/vanuatu-population/" xr:uid="{B9042868-D39E-BD4E-8C74-BC4899B63C21}"/>
    <hyperlink ref="V175" r:id="rId369" display="https://www.worldometers.info/world-population/barbados-population/" xr:uid="{45EEF9BE-9FE3-8841-9F6D-BCAFB921126B}"/>
    <hyperlink ref="V176" r:id="rId370" display="https://www.worldometers.info/world-population/sao-tome-and-principe-population/" xr:uid="{28001274-9E97-7542-883B-7555863900F0}"/>
    <hyperlink ref="V177" r:id="rId371" display="https://www.worldometers.info/world-population/samoa-population/" xr:uid="{B23FEFFE-008B-4447-9196-3ECF18957994}"/>
    <hyperlink ref="V178" r:id="rId372" display="https://www.worldometers.info/world-population/saint-lucia-population/" xr:uid="{B353F975-A7C1-EF42-9DF6-DC1BE1F6126B}"/>
    <hyperlink ref="V179" r:id="rId373" display="https://www.worldometers.info/world-population/kiribati-population/" xr:uid="{58EEF87F-8E2A-B94C-8B04-37357667910F}"/>
    <hyperlink ref="V180" r:id="rId374" display="https://www.worldometers.info/world-population/seychelles-population/" xr:uid="{D82A2EE6-1C85-2843-B0DE-196BA8F77F4F}"/>
    <hyperlink ref="V181" r:id="rId375" display="https://www.worldometers.info/world-population/grenada-population/" xr:uid="{CB9E6E63-9C10-5C49-B668-9E74F2CF4E5C}"/>
    <hyperlink ref="V182" r:id="rId376" display="https://www.worldometers.info/world-population/micronesia-population/" xr:uid="{96CF7680-26D3-104B-8276-53D909CA73C7}"/>
    <hyperlink ref="V183" r:id="rId377" display="https://www.worldometers.info/world-population/tonga-population/" xr:uid="{6893637F-9272-A246-A014-BE81753293F8}"/>
    <hyperlink ref="V184" r:id="rId378" display="https://www.worldometers.info/world-population/saint-vincent-and-the-grenadines-population/" xr:uid="{D3E3C893-299E-DF47-97B9-E80BF4FC2F5B}"/>
    <hyperlink ref="V185" r:id="rId379" display="https://www.worldometers.info/world-population/antigua-and-barbuda-population/" xr:uid="{F5C08DD7-718B-3843-937F-B2FDFA92DDE3}"/>
    <hyperlink ref="V186" r:id="rId380" display="https://www.worldometers.info/world-population/andorra-population/" xr:uid="{8160C0FC-2B37-CC4A-81B7-52E3333A22CA}"/>
    <hyperlink ref="V187" r:id="rId381" display="https://www.worldometers.info/world-population/dominica-population/" xr:uid="{DDF96858-3581-3648-8612-387F0BCE631C}"/>
    <hyperlink ref="V188" r:id="rId382" display="https://www.worldometers.info/world-population/saint-kitts-and-nevis-population/" xr:uid="{FE5DB390-F8DE-E445-A512-046843C34490}"/>
    <hyperlink ref="V189" r:id="rId383" display="https://www.worldometers.info/world-population/liechtenstein-population/" xr:uid="{FADDB4EB-38A5-8B4D-AF26-73A6E02D762C}"/>
    <hyperlink ref="V190" r:id="rId384" display="https://www.worldometers.info/world-population/monaco-population/" xr:uid="{4EE29AA8-82BB-0848-8C04-901E33B8C7BC}"/>
    <hyperlink ref="V191" r:id="rId385" display="https://www.worldometers.info/world-population/marshall-islands-population/" xr:uid="{9BF214D1-062B-E646-97B2-9496E2811870}"/>
    <hyperlink ref="V192" r:id="rId386" display="https://www.worldometers.info/world-population/san-marino-population/" xr:uid="{1B11DA41-D9AE-CC44-9348-7EACDEFC4F91}"/>
    <hyperlink ref="V193" r:id="rId387" display="https://www.worldometers.info/world-population/palau-population/" xr:uid="{0D3F9248-D7D3-E84A-AA77-95997E09C162}"/>
    <hyperlink ref="V194" r:id="rId388" display="https://www.worldometers.info/world-population/nauru-population/" xr:uid="{CEFA2A59-00F7-D341-9EEA-55496A5C27C1}"/>
    <hyperlink ref="V195" r:id="rId389" display="https://www.worldometers.info/world-population/tuvalu-population/" xr:uid="{4C27E890-1F82-A44D-9E78-1EF569A34D65}"/>
    <hyperlink ref="V196" r:id="rId390" display="https://www.worldometers.info/world-population/holy-see-population/" xr:uid="{804ED57D-C7C8-A44E-90B7-8E2A393522B3}"/>
    <hyperlink ref="V197" r:id="rId391" display="https://www.worldometers.info/world-population/taiwan-population/" xr:uid="{611FC5AE-DEDE-254C-ABF2-87BEC1157D51}"/>
    <hyperlink ref="V198" r:id="rId392" display="https://www.worldometers.info/world-population/china-hong-kong-sar-population/" xr:uid="{7EDA6A81-991C-2945-ABF3-F23D5C987431}"/>
    <hyperlink ref="V199" r:id="rId393" display="https://www.worldometers.info/world-population/puerto-rico-population/" xr:uid="{0B5A1503-3522-8F41-AF05-FD078D3534CC}"/>
    <hyperlink ref="V201" r:id="rId394" display="https://www.worldometers.info/world-population/greenland-population/" xr:uid="{6D179DB7-2286-7845-806D-CF8C2D1FA2C0}"/>
    <hyperlink ref="V202" r:id="rId395" display="https://www.worldometers.info/world-population/western-sahara-population/" xr:uid="{692DC4CD-63EC-7D4D-AE00-07CA074822E5}"/>
    <hyperlink ref="V203" r:id="rId396" display="https://www.worldometers.info/world-population/french-guiana-population/" xr:uid="{1B149206-1F09-D244-A0F7-E161CBD83C68}"/>
    <hyperlink ref="V204" r:id="rId397" display="https://www.worldometers.info/world-population/new-caledonia-population/" xr:uid="{EFEA8371-803C-8C4E-B780-1E221DBB1974}"/>
    <hyperlink ref="V205" r:id="rId398" display="https://www.worldometers.info/world-population/falkland-islands-malvinas-population/" xr:uid="{3FB953DD-49A2-A542-B679-8280AD3C8B5A}"/>
    <hyperlink ref="V206" r:id="rId399" display="https://www.worldometers.info/world-population/french-polynesia-population/" xr:uid="{D3DFFB77-532E-FB40-BF6D-CD5EF658999B}"/>
    <hyperlink ref="V207" r:id="rId400" display="https://www.worldometers.info/world-population/reunion-population/" xr:uid="{B13D7CFE-6899-694B-9220-3998283A4B79}"/>
    <hyperlink ref="V208" r:id="rId401" display="https://www.worldometers.info/world-population/guadeloupe-population/" xr:uid="{8CFDB099-9192-DE48-940B-6E4A859E7778}"/>
    <hyperlink ref="V209" r:id="rId402" display="https://www.worldometers.info/world-population/faeroe-islands-population/" xr:uid="{8C379113-45D0-0B42-8499-716CE6D9BB44}"/>
    <hyperlink ref="V210" r:id="rId403" display="https://www.worldometers.info/world-population/martinique-population/" xr:uid="{F1089146-1A18-D64F-98CC-7111B600E538}"/>
    <hyperlink ref="V211" r:id="rId404" display="https://www.worldometers.info/world-population/china-macao-sar-population/" xr:uid="{8F8F1D57-1845-3D48-A41A-103A43147426}"/>
    <hyperlink ref="V212" r:id="rId405" display="https://www.worldometers.info/world-population/turks-and-caicos-islands-population/" xr:uid="{3717DBCE-F7C7-9B47-8CB4-8F1E046B15CE}"/>
    <hyperlink ref="V213" r:id="rId406" display="https://www.worldometers.info/world-population/mayotte-population/" xr:uid="{FE703961-E69B-4A44-B033-99841A5EE782}"/>
    <hyperlink ref="V214" r:id="rId407" display="https://www.worldometers.info/world-population/curacao-population/" xr:uid="{C4228B4E-032E-8847-A63B-A53CE138555A}"/>
    <hyperlink ref="V215" r:id="rId408" display="https://www.worldometers.info/world-population/saint-lucia-population/" xr:uid="{26638888-2A58-BE4F-A61F-74932B870956}"/>
    <hyperlink ref="V216" r:id="rId409" display="https://www.worldometers.info/world-population/guam-population/" xr:uid="{3B47736F-261D-1C4D-989F-858D2EDBE780}"/>
    <hyperlink ref="V217" r:id="rId410" display="https://www.worldometers.info/world-population/aruba-population/" xr:uid="{F047E897-306B-6C40-96D7-131C3E71CFF1}"/>
    <hyperlink ref="V218" r:id="rId411" display="https://www.worldometers.info/world-population/united-states-virgin-islands-population/" xr:uid="{A739626A-657B-5342-8797-BB931A6DE1B3}"/>
    <hyperlink ref="V219" r:id="rId412" display="https://www.worldometers.info/world-population/isle-of-man-population/" xr:uid="{37053626-A166-C744-BC82-C94F34007C94}"/>
    <hyperlink ref="V220" r:id="rId413" display="https://www.worldometers.info/world-population/cayman-islands-population/" xr:uid="{55A4820C-D7AE-4C44-A2FE-1179142B5961}"/>
    <hyperlink ref="V221" r:id="rId414" display="https://www.worldometers.info/world-population/bermuda-population/" xr:uid="{72E618A9-A0E0-C441-9AEB-64971C048377}"/>
    <hyperlink ref="V222" r:id="rId415" display="https://www.worldometers.info/world-population/american-samoa-population/" xr:uid="{6D5054B0-6F5B-6B49-9244-15C65967129A}"/>
    <hyperlink ref="V223" r:id="rId416" display="https://www.worldometers.info/world-population/sint-maarten-population/" xr:uid="{AEB592CF-3A31-8341-B9F9-5B58463748F5}"/>
    <hyperlink ref="V224" r:id="rId417" display="https://www.worldometers.info/world-population/northern-mariana-islands-population/" xr:uid="{4E5F0A53-3887-5941-B514-4974C571C295}"/>
    <hyperlink ref="V225" r:id="rId418" display="https://www.worldometers.info/world-population/gibraltar-population/" xr:uid="{3FE4E7C2-62F2-9F45-9B2E-301DCF30C723}"/>
    <hyperlink ref="V226" r:id="rId419" display="https://www.worldometers.info/world-population/british-virgin-islands-population/" xr:uid="{A4076ADE-84EC-5F44-8F5C-9744536CA898}"/>
    <hyperlink ref="V227" r:id="rId420" display="https://www.worldometers.info/world-population/caribbean-netherlands-population/" xr:uid="{A83096B9-8D22-C240-83E6-F3B3E7219BA0}"/>
    <hyperlink ref="V228" r:id="rId421" display="https://www.worldometers.info/world-population/anguilla-population/" xr:uid="{60986E7A-0104-8441-B570-90CB61462089}"/>
    <hyperlink ref="V230" r:id="rId422" display="https://www.worldometers.info/world-population/saint-barthelemy-population/" xr:uid="{B1E7758C-89ED-AC4C-A3BC-B049522B7C96}"/>
    <hyperlink ref="V231" r:id="rId423" display="https://www.worldometers.info/world-population/wallis-and-futuna-islands-population/" xr:uid="{CE76A754-AE7F-F54E-9A69-C7AF6237C60E}"/>
    <hyperlink ref="V232" r:id="rId424" display="https://www.worldometers.info/world-population/saint-pierre-and-miquelon-population/" xr:uid="{572F9AA5-3F86-9D48-848F-0630E2118882}"/>
    <hyperlink ref="V233" r:id="rId425" display="https://www.worldometers.info/world-population/saint-helena-population/" xr:uid="{103EF19C-0410-0045-ADDC-6CCBE352EE4A}"/>
    <hyperlink ref="V234" r:id="rId426" display="https://www.worldometers.info/world-population/montserrat-population/" xr:uid="{03A3472A-A429-0542-9F13-06913234FF68}"/>
    <hyperlink ref="V235" r:id="rId427" display="https://www.worldometers.info/world-population/tokelau-population/" xr:uid="{ADB57AA5-FEEE-724A-9BAD-6DF01455DC86}"/>
    <hyperlink ref="V236" r:id="rId428" display="https://www.worldometers.info/world-population/niue-population/" xr:uid="{CC175D10-A2AF-864D-9E6C-95EE68968F6C}"/>
    <hyperlink ref="V229" r:id="rId429" display="https://www.worldometers.info/world-population/cook-islands-population/" xr:uid="{A87C9456-F66E-ED44-A7FD-4A04CCD15CA8}"/>
  </hyperlinks>
  <pageMargins left="0.7" right="0.7" top="0.75" bottom="0.75" header="0.3" footer="0.3"/>
  <pageSetup orientation="portrait" horizontalDpi="0" verticalDpi="0"/>
  <legacyDrawing r:id="rId43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941A5-0A0F-F444-A782-1811AE317BE7}">
  <sheetPr>
    <tabColor rgb="FF00B0F0"/>
  </sheetPr>
  <dimension ref="A1:U234"/>
  <sheetViews>
    <sheetView workbookViewId="0">
      <pane ySplit="1" topLeftCell="A2" activePane="bottomLeft" state="frozen"/>
      <selection pane="bottomLeft" activeCell="D93" sqref="D93"/>
    </sheetView>
  </sheetViews>
  <sheetFormatPr baseColWidth="10" defaultRowHeight="29" x14ac:dyDescent="0.35"/>
  <cols>
    <col min="1" max="1" width="5.1640625" style="15" bestFit="1" customWidth="1"/>
    <col min="2" max="2" width="8.83203125" style="15" bestFit="1" customWidth="1"/>
    <col min="3" max="3" width="16" style="15" customWidth="1"/>
    <col min="4" max="4" width="22.5" style="15" bestFit="1" customWidth="1"/>
    <col min="5" max="5" width="8.83203125" style="33" bestFit="1" customWidth="1"/>
    <col min="6" max="6" width="18.83203125" style="15" customWidth="1"/>
    <col min="7" max="7" width="15.83203125" style="15" customWidth="1"/>
    <col min="8" max="8" width="14" style="15" bestFit="1" customWidth="1"/>
    <col min="9" max="9" width="18.6640625" style="15" bestFit="1" customWidth="1"/>
    <col min="10" max="10" width="20" style="15" bestFit="1" customWidth="1"/>
    <col min="11" max="11" width="25" style="15" customWidth="1"/>
    <col min="12" max="12" width="12.33203125" style="15" bestFit="1" customWidth="1"/>
    <col min="13" max="13" width="14.33203125" style="15" bestFit="1" customWidth="1"/>
    <col min="14" max="14" width="16.33203125" style="15" bestFit="1" customWidth="1"/>
    <col min="15" max="15" width="15.1640625" style="15" bestFit="1" customWidth="1"/>
    <col min="16" max="17" width="10.83203125" style="15"/>
    <col min="18" max="18" width="23.6640625" style="15" bestFit="1" customWidth="1"/>
    <col min="19" max="19" width="10.83203125" style="15"/>
    <col min="20" max="20" width="8" style="15" bestFit="1" customWidth="1"/>
    <col min="21" max="21" width="5.6640625" style="15" bestFit="1" customWidth="1"/>
    <col min="22" max="16384" width="10.83203125" style="15"/>
  </cols>
  <sheetData>
    <row r="1" spans="1:21" ht="16" x14ac:dyDescent="0.2">
      <c r="A1" s="48" t="s">
        <v>0</v>
      </c>
      <c r="B1" s="47" t="s">
        <v>1003</v>
      </c>
      <c r="C1" s="47" t="s">
        <v>1004</v>
      </c>
      <c r="D1" s="48" t="s">
        <v>1</v>
      </c>
      <c r="E1" s="48" t="s">
        <v>1331</v>
      </c>
      <c r="F1" s="48" t="s">
        <v>1330</v>
      </c>
      <c r="G1" s="48" t="s">
        <v>488</v>
      </c>
      <c r="H1" s="48" t="s">
        <v>489</v>
      </c>
      <c r="I1" s="48" t="s">
        <v>490</v>
      </c>
      <c r="J1" s="48" t="s">
        <v>3</v>
      </c>
      <c r="K1" s="48" t="s">
        <v>491</v>
      </c>
      <c r="L1" s="48" t="s">
        <v>492</v>
      </c>
      <c r="M1" s="48" t="s">
        <v>493</v>
      </c>
      <c r="N1" s="48" t="s">
        <v>494</v>
      </c>
      <c r="O1" s="48" t="s">
        <v>2</v>
      </c>
      <c r="R1" s="15" t="s">
        <v>1003</v>
      </c>
      <c r="S1" s="15" t="s">
        <v>1004</v>
      </c>
      <c r="T1" s="15" t="s">
        <v>1331</v>
      </c>
    </row>
    <row r="2" spans="1:21" ht="16" x14ac:dyDescent="0.2">
      <c r="A2" s="15">
        <v>1</v>
      </c>
      <c r="B2" s="15" t="s">
        <v>624</v>
      </c>
      <c r="C2" s="15" t="s">
        <v>607</v>
      </c>
      <c r="D2" s="16" t="s">
        <v>4</v>
      </c>
      <c r="E2" s="15" t="s">
        <v>495</v>
      </c>
      <c r="F2" s="18">
        <v>1463865525</v>
      </c>
      <c r="G2" s="19">
        <v>8.8999999999999999E-3</v>
      </c>
      <c r="H2" s="20">
        <v>12929734</v>
      </c>
      <c r="I2" s="15">
        <v>492</v>
      </c>
      <c r="J2" s="20">
        <v>2973190</v>
      </c>
      <c r="K2" s="15" t="s">
        <v>199</v>
      </c>
      <c r="L2" s="15">
        <v>1.94</v>
      </c>
      <c r="M2" s="15">
        <v>28.8</v>
      </c>
      <c r="N2" s="19">
        <v>0.371</v>
      </c>
      <c r="O2" s="19">
        <v>0.17780000000000001</v>
      </c>
      <c r="R2" s="15" t="str">
        <f>VLOOKUP(D2,Сountries!V:Z,2,0)</f>
        <v>Asia</v>
      </c>
      <c r="S2" s="15" t="str">
        <f>VLOOKUP(D2,Сountries!V:Z,3,0)</f>
        <v>Southern Asia</v>
      </c>
      <c r="T2" s="15" t="str">
        <f>VLOOKUP(D2,Сountries!V:Z,5,0)</f>
        <v>🇮🇳</v>
      </c>
      <c r="U2" s="15" t="b">
        <f>E2=T2</f>
        <v>1</v>
      </c>
    </row>
    <row r="3" spans="1:21" ht="16" x14ac:dyDescent="0.2">
      <c r="A3" s="15">
        <v>2</v>
      </c>
      <c r="B3" s="15" t="s">
        <v>624</v>
      </c>
      <c r="C3" s="15" t="s">
        <v>608</v>
      </c>
      <c r="D3" s="16" t="s">
        <v>5</v>
      </c>
      <c r="E3" s="15" t="s">
        <v>496</v>
      </c>
      <c r="F3" s="18">
        <v>1416096094</v>
      </c>
      <c r="G3" s="15" t="s">
        <v>200</v>
      </c>
      <c r="H3" s="15" t="s">
        <v>201</v>
      </c>
      <c r="I3" s="15">
        <v>151</v>
      </c>
      <c r="J3" s="20">
        <v>9388211</v>
      </c>
      <c r="K3" s="15" t="s">
        <v>202</v>
      </c>
      <c r="L3" s="15">
        <v>1.02</v>
      </c>
      <c r="M3" s="15">
        <v>40.1</v>
      </c>
      <c r="N3" s="19">
        <v>0.67500000000000004</v>
      </c>
      <c r="O3" s="19">
        <v>0.17199999999999999</v>
      </c>
      <c r="R3" s="15" t="str">
        <f>VLOOKUP(D3,Сountries!V:Z,2,0)</f>
        <v>Asia</v>
      </c>
      <c r="S3" s="15" t="str">
        <f>VLOOKUP(D3,Сountries!V:Z,3,0)</f>
        <v>Eastern Asia</v>
      </c>
      <c r="T3" s="15" t="str">
        <f>VLOOKUP(D3,Сountries!V:Z,5,0)</f>
        <v>🇨🇳</v>
      </c>
      <c r="U3" s="15" t="b">
        <f t="shared" ref="U3:U66" si="0">E3=T3</f>
        <v>1</v>
      </c>
    </row>
    <row r="4" spans="1:21" ht="16" x14ac:dyDescent="0.2">
      <c r="A4" s="15">
        <v>3</v>
      </c>
      <c r="B4" s="15" t="s">
        <v>625</v>
      </c>
      <c r="C4" s="15" t="s">
        <v>623</v>
      </c>
      <c r="D4" s="16" t="s">
        <v>6</v>
      </c>
      <c r="E4" s="15" t="s">
        <v>497</v>
      </c>
      <c r="F4" s="18">
        <v>347275807</v>
      </c>
      <c r="G4" s="19">
        <v>5.4000000000000003E-3</v>
      </c>
      <c r="H4" s="20">
        <v>1849236</v>
      </c>
      <c r="I4" s="15">
        <v>38</v>
      </c>
      <c r="J4" s="20">
        <v>9147420</v>
      </c>
      <c r="K4" s="20">
        <v>1230663</v>
      </c>
      <c r="L4" s="15">
        <v>1.62</v>
      </c>
      <c r="M4" s="15">
        <v>38.5</v>
      </c>
      <c r="N4" s="19">
        <v>0.82799999999999996</v>
      </c>
      <c r="O4" s="19">
        <v>4.2200000000000001E-2</v>
      </c>
      <c r="R4" s="15" t="str">
        <f>VLOOKUP(D4,Сountries!V:Z,2,0)</f>
        <v>America</v>
      </c>
      <c r="S4" s="15" t="str">
        <f>VLOOKUP(D4,Сountries!V:Z,3,0)</f>
        <v>Northern America</v>
      </c>
      <c r="T4" s="15" t="str">
        <f>VLOOKUP(D4,Сountries!V:Z,5,0)</f>
        <v>🇺🇸</v>
      </c>
      <c r="U4" s="15" t="b">
        <f t="shared" si="0"/>
        <v>1</v>
      </c>
    </row>
    <row r="5" spans="1:21" ht="16" x14ac:dyDescent="0.2">
      <c r="A5" s="15">
        <v>4</v>
      </c>
      <c r="B5" s="15" t="s">
        <v>624</v>
      </c>
      <c r="C5" s="15" t="s">
        <v>609</v>
      </c>
      <c r="D5" s="16" t="s">
        <v>7</v>
      </c>
      <c r="E5" s="15" t="s">
        <v>498</v>
      </c>
      <c r="F5" s="18">
        <v>285721236</v>
      </c>
      <c r="G5" s="19">
        <v>7.9000000000000008E-3</v>
      </c>
      <c r="H5" s="20">
        <v>2233305</v>
      </c>
      <c r="I5" s="15">
        <v>158</v>
      </c>
      <c r="J5" s="20">
        <v>1811570</v>
      </c>
      <c r="K5" s="15" t="s">
        <v>203</v>
      </c>
      <c r="L5" s="15">
        <v>2.1</v>
      </c>
      <c r="M5" s="15">
        <v>30.4</v>
      </c>
      <c r="N5" s="19">
        <v>0.59599999999999997</v>
      </c>
      <c r="O5" s="19">
        <v>3.4700000000000002E-2</v>
      </c>
      <c r="R5" s="15" t="str">
        <f>VLOOKUP(D5,Сountries!V:Z,2,0)</f>
        <v>Asia</v>
      </c>
      <c r="S5" s="15" t="str">
        <f>VLOOKUP(D5,Сountries!V:Z,3,0)</f>
        <v>South-Eastern Asia</v>
      </c>
      <c r="T5" s="15" t="str">
        <f>VLOOKUP(D5,Сountries!V:Z,5,0)</f>
        <v>🇮🇩</v>
      </c>
      <c r="U5" s="15" t="b">
        <f t="shared" si="0"/>
        <v>1</v>
      </c>
    </row>
    <row r="6" spans="1:21" ht="16" x14ac:dyDescent="0.2">
      <c r="A6" s="15">
        <v>5</v>
      </c>
      <c r="B6" s="15" t="s">
        <v>624</v>
      </c>
      <c r="C6" s="15" t="s">
        <v>607</v>
      </c>
      <c r="D6" s="16" t="s">
        <v>8</v>
      </c>
      <c r="E6" s="15" t="s">
        <v>499</v>
      </c>
      <c r="F6" s="18">
        <v>255219554</v>
      </c>
      <c r="G6" s="19">
        <v>1.5699999999999999E-2</v>
      </c>
      <c r="H6" s="20">
        <v>3950390</v>
      </c>
      <c r="I6" s="15">
        <v>331</v>
      </c>
      <c r="J6" s="20">
        <v>770880</v>
      </c>
      <c r="K6" s="15" t="s">
        <v>204</v>
      </c>
      <c r="L6" s="15">
        <v>3.5</v>
      </c>
      <c r="M6" s="15">
        <v>20.6</v>
      </c>
      <c r="N6" s="19">
        <v>0.34399999999999997</v>
      </c>
      <c r="O6" s="19">
        <v>3.1E-2</v>
      </c>
      <c r="R6" s="15" t="str">
        <f>VLOOKUP(D6,Сountries!V:Z,2,0)</f>
        <v>Asia</v>
      </c>
      <c r="S6" s="15" t="str">
        <f>VLOOKUP(D6,Сountries!V:Z,3,0)</f>
        <v>Southern Asia</v>
      </c>
      <c r="T6" s="15" t="str">
        <f>VLOOKUP(D6,Сountries!V:Z,5,0)</f>
        <v>🇵🇰</v>
      </c>
      <c r="U6" s="15" t="b">
        <f t="shared" si="0"/>
        <v>1</v>
      </c>
    </row>
    <row r="7" spans="1:21" ht="16" x14ac:dyDescent="0.2">
      <c r="A7" s="15">
        <v>6</v>
      </c>
      <c r="B7" s="15" t="s">
        <v>627</v>
      </c>
      <c r="C7" s="15" t="s">
        <v>602</v>
      </c>
      <c r="D7" s="16" t="s">
        <v>9</v>
      </c>
      <c r="E7" s="15" t="s">
        <v>500</v>
      </c>
      <c r="F7" s="18">
        <v>237527782</v>
      </c>
      <c r="G7" s="19">
        <v>2.0799999999999999E-2</v>
      </c>
      <c r="H7" s="20">
        <v>4848304</v>
      </c>
      <c r="I7" s="15">
        <v>261</v>
      </c>
      <c r="J7" s="20">
        <v>910770</v>
      </c>
      <c r="K7" s="15" t="s">
        <v>205</v>
      </c>
      <c r="L7" s="15">
        <v>4.3</v>
      </c>
      <c r="M7" s="15">
        <v>18.100000000000001</v>
      </c>
      <c r="N7" s="19">
        <v>0.54900000000000004</v>
      </c>
      <c r="O7" s="19">
        <v>2.8899999999999999E-2</v>
      </c>
      <c r="R7" s="15" t="str">
        <f>VLOOKUP(D7,Сountries!V:Z,2,0)</f>
        <v>Africa</v>
      </c>
      <c r="S7" s="15" t="str">
        <f>VLOOKUP(D7,Сountries!V:Z,3,0)</f>
        <v>Western Africa</v>
      </c>
      <c r="T7" s="15" t="str">
        <f>VLOOKUP(D7,Сountries!V:Z,5,0)</f>
        <v>🇳🇬</v>
      </c>
      <c r="U7" s="15" t="b">
        <f t="shared" si="0"/>
        <v>1</v>
      </c>
    </row>
    <row r="8" spans="1:21" ht="16" x14ac:dyDescent="0.2">
      <c r="A8" s="15">
        <v>7</v>
      </c>
      <c r="B8" s="15" t="s">
        <v>625</v>
      </c>
      <c r="C8" s="15" t="s">
        <v>617</v>
      </c>
      <c r="D8" s="16" t="s">
        <v>10</v>
      </c>
      <c r="E8" s="15" t="s">
        <v>501</v>
      </c>
      <c r="F8" s="18">
        <v>212812405</v>
      </c>
      <c r="G8" s="19">
        <v>3.8E-3</v>
      </c>
      <c r="H8" s="20">
        <v>813832</v>
      </c>
      <c r="I8" s="15">
        <v>25</v>
      </c>
      <c r="J8" s="20">
        <v>8358140</v>
      </c>
      <c r="K8" s="15" t="s">
        <v>206</v>
      </c>
      <c r="L8" s="15">
        <v>1.6</v>
      </c>
      <c r="M8" s="15">
        <v>34.799999999999997</v>
      </c>
      <c r="N8" s="19">
        <v>0.91400000000000003</v>
      </c>
      <c r="O8" s="19">
        <v>2.5899999999999999E-2</v>
      </c>
      <c r="R8" s="15" t="str">
        <f>VLOOKUP(D8,Сountries!V:Z,2,0)</f>
        <v>America</v>
      </c>
      <c r="S8" s="15" t="str">
        <f>VLOOKUP(D8,Сountries!V:Z,3,0)</f>
        <v>South America</v>
      </c>
      <c r="T8" s="15" t="str">
        <f>VLOOKUP(D8,Сountries!V:Z,5,0)</f>
        <v>🇧🇷</v>
      </c>
      <c r="U8" s="15" t="b">
        <f t="shared" si="0"/>
        <v>1</v>
      </c>
    </row>
    <row r="9" spans="1:21" ht="16" x14ac:dyDescent="0.2">
      <c r="A9" s="15">
        <v>8</v>
      </c>
      <c r="B9" s="15" t="s">
        <v>624</v>
      </c>
      <c r="C9" s="15" t="s">
        <v>607</v>
      </c>
      <c r="D9" s="16" t="s">
        <v>11</v>
      </c>
      <c r="E9" s="15" t="s">
        <v>502</v>
      </c>
      <c r="F9" s="18">
        <v>175686899</v>
      </c>
      <c r="G9" s="19">
        <v>1.2200000000000001E-2</v>
      </c>
      <c r="H9" s="20">
        <v>2124535</v>
      </c>
      <c r="I9" s="20">
        <v>1350</v>
      </c>
      <c r="J9" s="20">
        <v>130170</v>
      </c>
      <c r="K9" s="15" t="s">
        <v>207</v>
      </c>
      <c r="L9" s="15">
        <v>2.11</v>
      </c>
      <c r="M9" s="15">
        <v>26</v>
      </c>
      <c r="N9" s="19">
        <v>0.42599999999999999</v>
      </c>
      <c r="O9" s="19">
        <v>2.1299999999999999E-2</v>
      </c>
      <c r="R9" s="15" t="str">
        <f>VLOOKUP(D9,Сountries!V:Z,2,0)</f>
        <v>Asia</v>
      </c>
      <c r="S9" s="15" t="str">
        <f>VLOOKUP(D9,Сountries!V:Z,3,0)</f>
        <v>Southern Asia</v>
      </c>
      <c r="T9" s="15" t="str">
        <f>VLOOKUP(D9,Сountries!V:Z,5,0)</f>
        <v>🇧🇩</v>
      </c>
      <c r="U9" s="15" t="b">
        <f t="shared" si="0"/>
        <v>1</v>
      </c>
    </row>
    <row r="10" spans="1:21" ht="16" x14ac:dyDescent="0.2">
      <c r="A10" s="15">
        <v>9</v>
      </c>
      <c r="B10" s="15" t="s">
        <v>626</v>
      </c>
      <c r="C10" s="15" t="s">
        <v>613</v>
      </c>
      <c r="D10" s="16" t="s">
        <v>984</v>
      </c>
      <c r="E10" s="15" t="s">
        <v>503</v>
      </c>
      <c r="F10" s="18">
        <v>143997393</v>
      </c>
      <c r="G10" s="15" t="s">
        <v>208</v>
      </c>
      <c r="H10" s="15" t="s">
        <v>209</v>
      </c>
      <c r="I10" s="15">
        <v>9</v>
      </c>
      <c r="J10" s="20">
        <v>16376870</v>
      </c>
      <c r="K10" s="15" t="s">
        <v>210</v>
      </c>
      <c r="L10" s="15">
        <v>1.47</v>
      </c>
      <c r="M10" s="15">
        <v>40.299999999999997</v>
      </c>
      <c r="N10" s="21">
        <v>0.75</v>
      </c>
      <c r="O10" s="19">
        <v>1.7500000000000002E-2</v>
      </c>
      <c r="R10" s="15" t="str">
        <f>VLOOKUP(D10,Сountries!V:Z,2,0)</f>
        <v>Europe</v>
      </c>
      <c r="S10" s="15" t="str">
        <f>VLOOKUP(D10,Сountries!V:Z,3,0)</f>
        <v>Eastern Europe</v>
      </c>
      <c r="T10" s="15" t="str">
        <f>VLOOKUP(D10,Сountries!V:Z,5,0)</f>
        <v>🇷🇺</v>
      </c>
      <c r="U10" s="15" t="b">
        <f t="shared" si="0"/>
        <v>1</v>
      </c>
    </row>
    <row r="11" spans="1:21" ht="16" x14ac:dyDescent="0.2">
      <c r="A11" s="15">
        <v>10</v>
      </c>
      <c r="B11" s="15" t="s">
        <v>627</v>
      </c>
      <c r="C11" s="15" t="s">
        <v>603</v>
      </c>
      <c r="D11" s="16" t="s">
        <v>13</v>
      </c>
      <c r="E11" s="15" t="s">
        <v>504</v>
      </c>
      <c r="F11" s="18">
        <v>135472051</v>
      </c>
      <c r="G11" s="19">
        <v>2.58E-2</v>
      </c>
      <c r="H11" s="20">
        <v>3412284</v>
      </c>
      <c r="I11" s="15">
        <v>135</v>
      </c>
      <c r="J11" s="20">
        <v>1000000</v>
      </c>
      <c r="K11" s="20">
        <v>24054</v>
      </c>
      <c r="L11" s="15">
        <v>3.81</v>
      </c>
      <c r="M11" s="15">
        <v>19.100000000000001</v>
      </c>
      <c r="N11" s="19">
        <v>0.22500000000000001</v>
      </c>
      <c r="O11" s="19">
        <v>1.6500000000000001E-2</v>
      </c>
      <c r="R11" s="15" t="str">
        <f>VLOOKUP(D11,Сountries!V:Z,2,0)</f>
        <v>Africa</v>
      </c>
      <c r="S11" s="15" t="str">
        <f>VLOOKUP(D11,Сountries!V:Z,3,0)</f>
        <v>Eastern Africa</v>
      </c>
      <c r="T11" s="15" t="str">
        <f>VLOOKUP(D11,Сountries!V:Z,5,0)</f>
        <v>🇪🇹</v>
      </c>
      <c r="U11" s="15" t="b">
        <f t="shared" si="0"/>
        <v>1</v>
      </c>
    </row>
    <row r="12" spans="1:21" ht="16" x14ac:dyDescent="0.2">
      <c r="A12" s="15">
        <v>11</v>
      </c>
      <c r="B12" s="15" t="s">
        <v>625</v>
      </c>
      <c r="C12" s="15" t="s">
        <v>618</v>
      </c>
      <c r="D12" s="16" t="s">
        <v>14</v>
      </c>
      <c r="E12" s="15" t="s">
        <v>505</v>
      </c>
      <c r="F12" s="18">
        <v>131946900</v>
      </c>
      <c r="G12" s="19">
        <v>8.3000000000000001E-3</v>
      </c>
      <c r="H12" s="20">
        <v>1085893</v>
      </c>
      <c r="I12" s="15">
        <v>68</v>
      </c>
      <c r="J12" s="20">
        <v>1943950</v>
      </c>
      <c r="K12" s="15" t="s">
        <v>211</v>
      </c>
      <c r="L12" s="15">
        <v>1.87</v>
      </c>
      <c r="M12" s="15">
        <v>29.6</v>
      </c>
      <c r="N12" s="19">
        <v>0.879</v>
      </c>
      <c r="O12" s="19">
        <v>1.6E-2</v>
      </c>
      <c r="R12" s="15" t="str">
        <f>VLOOKUP(D12,Сountries!V:Z,2,0)</f>
        <v>America</v>
      </c>
      <c r="S12" s="15" t="str">
        <f>VLOOKUP(D12,Сountries!V:Z,3,0)</f>
        <v>Central America</v>
      </c>
      <c r="T12" s="15" t="str">
        <f>VLOOKUP(D12,Сountries!V:Z,5,0)</f>
        <v>🇲🇽</v>
      </c>
      <c r="U12" s="15" t="b">
        <f t="shared" si="0"/>
        <v>1</v>
      </c>
    </row>
    <row r="13" spans="1:21" ht="16" x14ac:dyDescent="0.2">
      <c r="A13" s="15">
        <v>12</v>
      </c>
      <c r="B13" s="15" t="s">
        <v>624</v>
      </c>
      <c r="C13" s="15" t="s">
        <v>608</v>
      </c>
      <c r="D13" s="16" t="s">
        <v>15</v>
      </c>
      <c r="E13" s="15" t="s">
        <v>506</v>
      </c>
      <c r="F13" s="18">
        <v>123103479</v>
      </c>
      <c r="G13" s="15" t="s">
        <v>212</v>
      </c>
      <c r="H13" s="15" t="s">
        <v>213</v>
      </c>
      <c r="I13" s="15">
        <v>338</v>
      </c>
      <c r="J13" s="20">
        <v>364555</v>
      </c>
      <c r="K13" s="20">
        <v>140579</v>
      </c>
      <c r="L13" s="15">
        <v>1.23</v>
      </c>
      <c r="M13" s="15">
        <v>49.8</v>
      </c>
      <c r="N13" s="19">
        <v>0.93100000000000005</v>
      </c>
      <c r="O13" s="19">
        <v>1.4999999999999999E-2</v>
      </c>
      <c r="R13" s="15" t="str">
        <f>VLOOKUP(D13,Сountries!V:Z,2,0)</f>
        <v>Asia</v>
      </c>
      <c r="S13" s="15" t="str">
        <f>VLOOKUP(D13,Сountries!V:Z,3,0)</f>
        <v>Eastern Asia</v>
      </c>
      <c r="T13" s="15" t="str">
        <f>VLOOKUP(D13,Сountries!V:Z,5,0)</f>
        <v>🇯🇵</v>
      </c>
      <c r="U13" s="15" t="b">
        <f t="shared" si="0"/>
        <v>1</v>
      </c>
    </row>
    <row r="14" spans="1:21" ht="16" x14ac:dyDescent="0.2">
      <c r="A14" s="15">
        <v>13</v>
      </c>
      <c r="B14" s="15" t="s">
        <v>627</v>
      </c>
      <c r="C14" s="15" t="s">
        <v>604</v>
      </c>
      <c r="D14" s="16" t="s">
        <v>16</v>
      </c>
      <c r="E14" s="15" t="s">
        <v>507</v>
      </c>
      <c r="F14" s="18">
        <v>118365995</v>
      </c>
      <c r="G14" s="19">
        <v>1.5699999999999999E-2</v>
      </c>
      <c r="H14" s="20">
        <v>1827737</v>
      </c>
      <c r="I14" s="15">
        <v>119</v>
      </c>
      <c r="J14" s="20">
        <v>995450</v>
      </c>
      <c r="K14" s="15" t="s">
        <v>214</v>
      </c>
      <c r="L14" s="15">
        <v>2.71</v>
      </c>
      <c r="M14" s="15">
        <v>24.5</v>
      </c>
      <c r="N14" s="19">
        <v>0.40899999999999997</v>
      </c>
      <c r="O14" s="19">
        <v>1.44E-2</v>
      </c>
      <c r="R14" s="15" t="str">
        <f>VLOOKUP(D14,Сountries!V:Z,2,0)</f>
        <v>Africa</v>
      </c>
      <c r="S14" s="15" t="str">
        <f>VLOOKUP(D14,Сountries!V:Z,3,0)</f>
        <v>Northern Africa</v>
      </c>
      <c r="T14" s="15" t="str">
        <f>VLOOKUP(D14,Сountries!V:Z,5,0)</f>
        <v>🇪🇬</v>
      </c>
      <c r="U14" s="15" t="b">
        <f t="shared" si="0"/>
        <v>1</v>
      </c>
    </row>
    <row r="15" spans="1:21" ht="16" x14ac:dyDescent="0.2">
      <c r="A15" s="15">
        <v>14</v>
      </c>
      <c r="B15" s="15" t="s">
        <v>624</v>
      </c>
      <c r="C15" s="15" t="s">
        <v>609</v>
      </c>
      <c r="D15" s="16" t="s">
        <v>17</v>
      </c>
      <c r="E15" s="15" t="s">
        <v>508</v>
      </c>
      <c r="F15" s="18">
        <v>116786962</v>
      </c>
      <c r="G15" s="19">
        <v>8.0999999999999996E-3</v>
      </c>
      <c r="H15" s="20">
        <v>943292</v>
      </c>
      <c r="I15" s="15">
        <v>392</v>
      </c>
      <c r="J15" s="20">
        <v>298170</v>
      </c>
      <c r="K15" s="15" t="s">
        <v>215</v>
      </c>
      <c r="L15" s="15">
        <v>1.88</v>
      </c>
      <c r="M15" s="15">
        <v>26.1</v>
      </c>
      <c r="N15" s="19">
        <v>0.49299999999999999</v>
      </c>
      <c r="O15" s="19">
        <v>1.4200000000000001E-2</v>
      </c>
      <c r="R15" s="15" t="str">
        <f>VLOOKUP(D15,Сountries!V:Z,2,0)</f>
        <v>Asia</v>
      </c>
      <c r="S15" s="15" t="str">
        <f>VLOOKUP(D15,Сountries!V:Z,3,0)</f>
        <v>South-Eastern Asia</v>
      </c>
      <c r="T15" s="15" t="str">
        <f>VLOOKUP(D15,Сountries!V:Z,5,0)</f>
        <v>🇵🇭</v>
      </c>
      <c r="U15" s="15" t="b">
        <f t="shared" si="0"/>
        <v>1</v>
      </c>
    </row>
    <row r="16" spans="1:21" ht="16" x14ac:dyDescent="0.2">
      <c r="A16" s="15">
        <v>15</v>
      </c>
      <c r="B16" s="15" t="s">
        <v>627</v>
      </c>
      <c r="C16" s="15" t="s">
        <v>605</v>
      </c>
      <c r="D16" s="16" t="s">
        <v>18</v>
      </c>
      <c r="E16" s="15" t="s">
        <v>509</v>
      </c>
      <c r="F16" s="18">
        <v>112832473</v>
      </c>
      <c r="G16" s="19">
        <v>3.2500000000000001E-2</v>
      </c>
      <c r="H16" s="20">
        <v>3556208</v>
      </c>
      <c r="I16" s="15">
        <v>50</v>
      </c>
      <c r="J16" s="20">
        <v>2267050</v>
      </c>
      <c r="K16" s="15" t="s">
        <v>216</v>
      </c>
      <c r="L16" s="15">
        <v>5.9</v>
      </c>
      <c r="M16" s="15">
        <v>15.8</v>
      </c>
      <c r="N16" s="21">
        <v>0.45</v>
      </c>
      <c r="O16" s="19">
        <v>1.37E-2</v>
      </c>
      <c r="R16" s="15" t="str">
        <f>VLOOKUP(D16,Сountries!V:Z,2,0)</f>
        <v>Africa</v>
      </c>
      <c r="S16" s="15" t="str">
        <f>VLOOKUP(D16,Сountries!V:Z,3,0)</f>
        <v>Middle Africa</v>
      </c>
      <c r="T16" s="15" t="str">
        <f>VLOOKUP(D16,Сountries!V:Z,5,0)</f>
        <v>🇨🇩</v>
      </c>
      <c r="U16" s="15" t="b">
        <f t="shared" si="0"/>
        <v>1</v>
      </c>
    </row>
    <row r="17" spans="1:21" ht="16" x14ac:dyDescent="0.2">
      <c r="A17" s="15">
        <v>16</v>
      </c>
      <c r="B17" s="15" t="s">
        <v>624</v>
      </c>
      <c r="C17" s="15" t="s">
        <v>609</v>
      </c>
      <c r="D17" s="16" t="s">
        <v>19</v>
      </c>
      <c r="E17" s="15" t="s">
        <v>510</v>
      </c>
      <c r="F17" s="18">
        <v>101598527</v>
      </c>
      <c r="G17" s="19">
        <v>6.0000000000000001E-3</v>
      </c>
      <c r="H17" s="20">
        <v>610841</v>
      </c>
      <c r="I17" s="15">
        <v>328</v>
      </c>
      <c r="J17" s="20">
        <v>310070</v>
      </c>
      <c r="K17" s="15" t="s">
        <v>217</v>
      </c>
      <c r="L17" s="15">
        <v>1.88</v>
      </c>
      <c r="M17" s="15">
        <v>33.4</v>
      </c>
      <c r="N17" s="19">
        <v>0.41399999999999998</v>
      </c>
      <c r="O17" s="19">
        <v>1.23E-2</v>
      </c>
      <c r="R17" s="15" t="str">
        <f>VLOOKUP(D17,Сountries!V:Z,2,0)</f>
        <v>Asia</v>
      </c>
      <c r="S17" s="15" t="str">
        <f>VLOOKUP(D17,Сountries!V:Z,3,0)</f>
        <v>South-Eastern Asia</v>
      </c>
      <c r="T17" s="15" t="str">
        <f>VLOOKUP(D17,Сountries!V:Z,5,0)</f>
        <v>🇻🇳</v>
      </c>
      <c r="U17" s="15" t="b">
        <f t="shared" si="0"/>
        <v>1</v>
      </c>
    </row>
    <row r="18" spans="1:21" ht="16" x14ac:dyDescent="0.2">
      <c r="A18" s="15">
        <v>17</v>
      </c>
      <c r="B18" s="15" t="s">
        <v>624</v>
      </c>
      <c r="C18" s="15" t="s">
        <v>607</v>
      </c>
      <c r="D18" s="16" t="s">
        <v>20</v>
      </c>
      <c r="E18" s="15" t="s">
        <v>511</v>
      </c>
      <c r="F18" s="18">
        <v>92417681</v>
      </c>
      <c r="G18" s="19">
        <v>9.2999999999999992E-3</v>
      </c>
      <c r="H18" s="20">
        <v>849943</v>
      </c>
      <c r="I18" s="15">
        <v>57</v>
      </c>
      <c r="J18" s="20">
        <v>1628550</v>
      </c>
      <c r="K18" s="20">
        <v>116786</v>
      </c>
      <c r="L18" s="15">
        <v>1.67</v>
      </c>
      <c r="M18" s="15">
        <v>34</v>
      </c>
      <c r="N18" s="19">
        <v>0.73299999999999998</v>
      </c>
      <c r="O18" s="19">
        <v>1.12E-2</v>
      </c>
      <c r="R18" s="15" t="str">
        <f>VLOOKUP(D18,Сountries!V:Z,2,0)</f>
        <v>Asia</v>
      </c>
      <c r="S18" s="15" t="str">
        <f>VLOOKUP(D18,Сountries!V:Z,3,0)</f>
        <v>Southern Asia</v>
      </c>
      <c r="T18" s="15" t="str">
        <f>VLOOKUP(D18,Сountries!V:Z,5,0)</f>
        <v>🇮🇷</v>
      </c>
      <c r="U18" s="15" t="b">
        <f t="shared" si="0"/>
        <v>1</v>
      </c>
    </row>
    <row r="19" spans="1:21" ht="16" x14ac:dyDescent="0.2">
      <c r="A19" s="15">
        <v>18</v>
      </c>
      <c r="B19" s="15" t="s">
        <v>624</v>
      </c>
      <c r="C19" s="15" t="s">
        <v>610</v>
      </c>
      <c r="D19" s="16" t="s">
        <v>21</v>
      </c>
      <c r="E19" s="15" t="s">
        <v>512</v>
      </c>
      <c r="F19" s="18">
        <v>87685426</v>
      </c>
      <c r="G19" s="19">
        <v>2.3999999999999998E-3</v>
      </c>
      <c r="H19" s="20">
        <v>211621</v>
      </c>
      <c r="I19" s="15">
        <v>114</v>
      </c>
      <c r="J19" s="20">
        <v>769630</v>
      </c>
      <c r="K19" s="15" t="s">
        <v>218</v>
      </c>
      <c r="L19" s="15">
        <v>1.62</v>
      </c>
      <c r="M19" s="15">
        <v>33.5</v>
      </c>
      <c r="N19" s="19">
        <v>0.76900000000000002</v>
      </c>
      <c r="O19" s="19">
        <v>1.0699999999999999E-2</v>
      </c>
      <c r="R19" s="15" t="str">
        <f>VLOOKUP(D19,Сountries!V:Z,2,0)</f>
        <v>Asia</v>
      </c>
      <c r="S19" s="15" t="str">
        <f>VLOOKUP(D19,Сountries!V:Z,3,0)</f>
        <v>Western Asia</v>
      </c>
      <c r="T19" s="15" t="str">
        <f>VLOOKUP(D19,Сountries!V:Z,5,0)</f>
        <v>🇹🇷</v>
      </c>
      <c r="U19" s="15" t="b">
        <f t="shared" si="0"/>
        <v>1</v>
      </c>
    </row>
    <row r="20" spans="1:21" ht="16" x14ac:dyDescent="0.2">
      <c r="A20" s="15">
        <v>19</v>
      </c>
      <c r="B20" s="15" t="s">
        <v>626</v>
      </c>
      <c r="C20" s="15" t="s">
        <v>614</v>
      </c>
      <c r="D20" s="16" t="s">
        <v>22</v>
      </c>
      <c r="E20" s="15" t="s">
        <v>513</v>
      </c>
      <c r="F20" s="18">
        <v>84075075</v>
      </c>
      <c r="G20" s="15" t="s">
        <v>219</v>
      </c>
      <c r="H20" s="15" t="s">
        <v>220</v>
      </c>
      <c r="I20" s="15">
        <v>241</v>
      </c>
      <c r="J20" s="20">
        <v>348560</v>
      </c>
      <c r="K20" s="15" t="s">
        <v>221</v>
      </c>
      <c r="L20" s="15">
        <v>1.46</v>
      </c>
      <c r="M20" s="15">
        <v>45.5</v>
      </c>
      <c r="N20" s="19">
        <v>0.76500000000000001</v>
      </c>
      <c r="O20" s="19">
        <v>1.0200000000000001E-2</v>
      </c>
      <c r="R20" s="15" t="str">
        <f>VLOOKUP(D20,Сountries!V:Z,2,0)</f>
        <v>Europe</v>
      </c>
      <c r="S20" s="15" t="str">
        <f>VLOOKUP(D20,Сountries!V:Z,3,0)</f>
        <v>Western Europe</v>
      </c>
      <c r="T20" s="15" t="str">
        <f>VLOOKUP(D20,Сountries!V:Z,5,0)</f>
        <v>🇩🇪</v>
      </c>
      <c r="U20" s="15" t="b">
        <f t="shared" si="0"/>
        <v>1</v>
      </c>
    </row>
    <row r="21" spans="1:21" ht="16" x14ac:dyDescent="0.2">
      <c r="A21" s="15">
        <v>20</v>
      </c>
      <c r="B21" s="15" t="s">
        <v>624</v>
      </c>
      <c r="C21" s="15" t="s">
        <v>609</v>
      </c>
      <c r="D21" s="16" t="s">
        <v>23</v>
      </c>
      <c r="E21" s="15" t="s">
        <v>514</v>
      </c>
      <c r="F21" s="18">
        <v>71619863</v>
      </c>
      <c r="G21" s="15" t="s">
        <v>222</v>
      </c>
      <c r="H21" s="15" t="s">
        <v>223</v>
      </c>
      <c r="I21" s="15">
        <v>140</v>
      </c>
      <c r="J21" s="20">
        <v>510890</v>
      </c>
      <c r="K21" s="20">
        <v>27509</v>
      </c>
      <c r="L21" s="15">
        <v>1.2</v>
      </c>
      <c r="M21" s="15">
        <v>40.6</v>
      </c>
      <c r="N21" s="19">
        <v>0.53500000000000003</v>
      </c>
      <c r="O21" s="19">
        <v>8.6999999999999994E-3</v>
      </c>
      <c r="R21" s="15" t="str">
        <f>VLOOKUP(D21,Сountries!V:Z,2,0)</f>
        <v>Asia</v>
      </c>
      <c r="S21" s="15" t="str">
        <f>VLOOKUP(D21,Сountries!V:Z,3,0)</f>
        <v>South-Eastern Asia</v>
      </c>
      <c r="T21" s="15" t="str">
        <f>VLOOKUP(D21,Сountries!V:Z,5,0)</f>
        <v>🇹🇭</v>
      </c>
      <c r="U21" s="15" t="b">
        <f t="shared" si="0"/>
        <v>1</v>
      </c>
    </row>
    <row r="22" spans="1:21" ht="16" x14ac:dyDescent="0.2">
      <c r="A22" s="15">
        <v>21</v>
      </c>
      <c r="B22" s="15" t="s">
        <v>627</v>
      </c>
      <c r="C22" s="15" t="s">
        <v>603</v>
      </c>
      <c r="D22" s="16" t="s">
        <v>24</v>
      </c>
      <c r="E22" s="15" t="s">
        <v>515</v>
      </c>
      <c r="F22" s="18">
        <v>70545865</v>
      </c>
      <c r="G22" s="19">
        <v>2.9000000000000001E-2</v>
      </c>
      <c r="H22" s="20">
        <v>1985708</v>
      </c>
      <c r="I22" s="15">
        <v>80</v>
      </c>
      <c r="J22" s="20">
        <v>885800</v>
      </c>
      <c r="K22" s="15" t="s">
        <v>224</v>
      </c>
      <c r="L22" s="15">
        <v>4.47</v>
      </c>
      <c r="M22" s="15">
        <v>17.5</v>
      </c>
      <c r="N22" s="21">
        <v>0.4</v>
      </c>
      <c r="O22" s="19">
        <v>8.6E-3</v>
      </c>
      <c r="R22" s="15" t="str">
        <f>VLOOKUP(D22,Сountries!V:Z,2,0)</f>
        <v>Africa</v>
      </c>
      <c r="S22" s="15" t="str">
        <f>VLOOKUP(D22,Сountries!V:Z,3,0)</f>
        <v>Eastern Africa</v>
      </c>
      <c r="T22" s="15" t="str">
        <f>VLOOKUP(D22,Сountries!V:Z,5,0)</f>
        <v>🇹🇿</v>
      </c>
      <c r="U22" s="15" t="b">
        <f t="shared" si="0"/>
        <v>1</v>
      </c>
    </row>
    <row r="23" spans="1:21" ht="16" x14ac:dyDescent="0.2">
      <c r="A23" s="15">
        <v>22</v>
      </c>
      <c r="B23" s="15" t="s">
        <v>626</v>
      </c>
      <c r="C23" s="15" t="s">
        <v>615</v>
      </c>
      <c r="D23" s="16" t="s">
        <v>25</v>
      </c>
      <c r="E23" s="15" t="s">
        <v>516</v>
      </c>
      <c r="F23" s="18">
        <v>69551332</v>
      </c>
      <c r="G23" s="19">
        <v>6.0000000000000001E-3</v>
      </c>
      <c r="H23" s="20">
        <v>413140</v>
      </c>
      <c r="I23" s="15">
        <v>287</v>
      </c>
      <c r="J23" s="20">
        <v>241930</v>
      </c>
      <c r="K23" s="20">
        <v>389911</v>
      </c>
      <c r="L23" s="15">
        <v>1.54</v>
      </c>
      <c r="M23" s="15">
        <v>40.1</v>
      </c>
      <c r="N23" s="19">
        <v>0.84499999999999997</v>
      </c>
      <c r="O23" s="19">
        <v>8.3999999999999995E-3</v>
      </c>
      <c r="R23" s="15" t="str">
        <f>VLOOKUP(D23,Сountries!V:Z,2,0)</f>
        <v>Europe</v>
      </c>
      <c r="S23" s="15" t="str">
        <f>VLOOKUP(D23,Сountries!V:Z,3,0)</f>
        <v>Northern Europe</v>
      </c>
      <c r="T23" s="15" t="str">
        <f>VLOOKUP(D23,Сountries!V:Z,5,0)</f>
        <v>🇬🇧</v>
      </c>
      <c r="U23" s="15" t="b">
        <f t="shared" si="0"/>
        <v>1</v>
      </c>
    </row>
    <row r="24" spans="1:21" ht="16" x14ac:dyDescent="0.2">
      <c r="A24" s="15">
        <v>23</v>
      </c>
      <c r="B24" s="15" t="s">
        <v>626</v>
      </c>
      <c r="C24" s="15" t="s">
        <v>614</v>
      </c>
      <c r="D24" s="16" t="s">
        <v>26</v>
      </c>
      <c r="E24" s="15" t="s">
        <v>519</v>
      </c>
      <c r="F24" s="18">
        <v>66650804</v>
      </c>
      <c r="G24" s="19">
        <v>1.5E-3</v>
      </c>
      <c r="H24" s="20">
        <v>102274</v>
      </c>
      <c r="I24" s="15">
        <v>122</v>
      </c>
      <c r="J24" s="20">
        <v>547557</v>
      </c>
      <c r="K24" s="20">
        <v>91737</v>
      </c>
      <c r="L24" s="15">
        <v>1.64</v>
      </c>
      <c r="M24" s="15">
        <v>42.3</v>
      </c>
      <c r="N24" s="19">
        <v>0.82499999999999996</v>
      </c>
      <c r="O24" s="19">
        <v>8.0999999999999996E-3</v>
      </c>
      <c r="R24" s="15" t="str">
        <f>VLOOKUP(D24,Сountries!V:Z,2,0)</f>
        <v>Europe</v>
      </c>
      <c r="S24" s="15" t="str">
        <f>VLOOKUP(D24,Сountries!V:Z,3,0)</f>
        <v>Western Europe</v>
      </c>
      <c r="T24" s="15" t="str">
        <f>VLOOKUP(D24,Сountries!V:Z,5,0)</f>
        <v>🇫🇷</v>
      </c>
      <c r="U24" s="15" t="b">
        <f t="shared" si="0"/>
        <v>1</v>
      </c>
    </row>
    <row r="25" spans="1:21" ht="16" x14ac:dyDescent="0.2">
      <c r="A25" s="15">
        <v>24</v>
      </c>
      <c r="B25" s="15" t="s">
        <v>627</v>
      </c>
      <c r="C25" s="15" t="s">
        <v>606</v>
      </c>
      <c r="D25" s="16" t="s">
        <v>27</v>
      </c>
      <c r="E25" s="15" t="s">
        <v>520</v>
      </c>
      <c r="F25" s="18">
        <v>64747319</v>
      </c>
      <c r="G25" s="19">
        <v>1.1599999999999999E-2</v>
      </c>
      <c r="H25" s="20">
        <v>740132</v>
      </c>
      <c r="I25" s="15">
        <v>53</v>
      </c>
      <c r="J25" s="20">
        <v>1213090</v>
      </c>
      <c r="K25" s="20">
        <v>146370</v>
      </c>
      <c r="L25" s="15">
        <v>2.19</v>
      </c>
      <c r="M25" s="15">
        <v>28.7</v>
      </c>
      <c r="N25" s="19">
        <v>0.66600000000000004</v>
      </c>
      <c r="O25" s="19">
        <v>7.9000000000000008E-3</v>
      </c>
      <c r="R25" s="15" t="str">
        <f>VLOOKUP(D25,Сountries!V:Z,2,0)</f>
        <v>Africa</v>
      </c>
      <c r="S25" s="15" t="str">
        <f>VLOOKUP(D25,Сountries!V:Z,3,0)</f>
        <v>Southern Africa</v>
      </c>
      <c r="T25" s="15" t="str">
        <f>VLOOKUP(D25,Сountries!V:Z,5,0)</f>
        <v>🇿🇦</v>
      </c>
      <c r="U25" s="15" t="b">
        <f t="shared" si="0"/>
        <v>1</v>
      </c>
    </row>
    <row r="26" spans="1:21" ht="16" x14ac:dyDescent="0.2">
      <c r="A26" s="15">
        <v>25</v>
      </c>
      <c r="B26" s="15" t="s">
        <v>626</v>
      </c>
      <c r="C26" s="15" t="s">
        <v>616</v>
      </c>
      <c r="D26" s="16" t="s">
        <v>28</v>
      </c>
      <c r="E26" s="15" t="s">
        <v>521</v>
      </c>
      <c r="F26" s="18">
        <v>59146260</v>
      </c>
      <c r="G26" s="15" t="s">
        <v>225</v>
      </c>
      <c r="H26" s="15" t="s">
        <v>226</v>
      </c>
      <c r="I26" s="15">
        <v>201</v>
      </c>
      <c r="J26" s="20">
        <v>294140</v>
      </c>
      <c r="K26" s="20">
        <v>75448</v>
      </c>
      <c r="L26" s="15">
        <v>1.21</v>
      </c>
      <c r="M26" s="15">
        <v>48.2</v>
      </c>
      <c r="N26" s="21">
        <v>0.72</v>
      </c>
      <c r="O26" s="19">
        <v>7.1999999999999998E-3</v>
      </c>
      <c r="R26" s="15" t="str">
        <f>VLOOKUP(D26,Сountries!V:Z,2,0)</f>
        <v>Europe</v>
      </c>
      <c r="S26" s="15" t="str">
        <f>VLOOKUP(D26,Сountries!V:Z,3,0)</f>
        <v>Southern Europe</v>
      </c>
      <c r="T26" s="15" t="str">
        <f>VLOOKUP(D26,Сountries!V:Z,5,0)</f>
        <v>🇮🇹</v>
      </c>
      <c r="U26" s="15" t="b">
        <f t="shared" si="0"/>
        <v>1</v>
      </c>
    </row>
    <row r="27" spans="1:21" ht="16" x14ac:dyDescent="0.2">
      <c r="A27" s="15">
        <v>26</v>
      </c>
      <c r="B27" s="15" t="s">
        <v>627</v>
      </c>
      <c r="C27" s="15" t="s">
        <v>603</v>
      </c>
      <c r="D27" s="16" t="s">
        <v>29</v>
      </c>
      <c r="E27" s="15" t="s">
        <v>522</v>
      </c>
      <c r="F27" s="18">
        <v>57532493</v>
      </c>
      <c r="G27" s="19">
        <v>1.95E-2</v>
      </c>
      <c r="H27" s="20">
        <v>1099549</v>
      </c>
      <c r="I27" s="15">
        <v>101</v>
      </c>
      <c r="J27" s="20">
        <v>569140</v>
      </c>
      <c r="K27" s="15" t="s">
        <v>227</v>
      </c>
      <c r="L27" s="15">
        <v>3.12</v>
      </c>
      <c r="M27" s="15">
        <v>20</v>
      </c>
      <c r="N27" s="19">
        <v>0.31900000000000001</v>
      </c>
      <c r="O27" s="19">
        <v>7.0000000000000001E-3</v>
      </c>
      <c r="R27" s="15" t="str">
        <f>VLOOKUP(D27,Сountries!V:Z,2,0)</f>
        <v>Africa</v>
      </c>
      <c r="S27" s="15" t="str">
        <f>VLOOKUP(D27,Сountries!V:Z,3,0)</f>
        <v>Eastern Africa</v>
      </c>
      <c r="T27" s="15" t="str">
        <f>VLOOKUP(D27,Сountries!V:Z,5,0)</f>
        <v>🇰🇪</v>
      </c>
      <c r="U27" s="15" t="b">
        <f t="shared" si="0"/>
        <v>1</v>
      </c>
    </row>
    <row r="28" spans="1:21" ht="16" x14ac:dyDescent="0.2">
      <c r="A28" s="15">
        <v>27</v>
      </c>
      <c r="B28" s="15" t="s">
        <v>624</v>
      </c>
      <c r="C28" s="15" t="s">
        <v>609</v>
      </c>
      <c r="D28" s="16" t="s">
        <v>30</v>
      </c>
      <c r="E28" s="15" t="s">
        <v>505</v>
      </c>
      <c r="F28" s="18">
        <v>54850648</v>
      </c>
      <c r="G28" s="19">
        <v>6.4000000000000003E-3</v>
      </c>
      <c r="H28" s="20">
        <v>350557</v>
      </c>
      <c r="I28" s="15">
        <v>84</v>
      </c>
      <c r="J28" s="20">
        <v>653290</v>
      </c>
      <c r="K28" s="15" t="s">
        <v>228</v>
      </c>
      <c r="L28" s="15">
        <v>2.08</v>
      </c>
      <c r="M28" s="15">
        <v>30.1</v>
      </c>
      <c r="N28" s="19">
        <v>0.34100000000000003</v>
      </c>
      <c r="O28" s="19">
        <v>6.7000000000000002E-3</v>
      </c>
      <c r="R28" s="15" t="str">
        <f>VLOOKUP(D28,Сountries!V:Z,2,0)</f>
        <v>Asia</v>
      </c>
      <c r="S28" s="15" t="str">
        <f>VLOOKUP(D28,Сountries!V:Z,3,0)</f>
        <v>South-Eastern Asia</v>
      </c>
      <c r="T28" s="15" t="str">
        <f>VLOOKUP(D28,Сountries!V:Z,5,0)</f>
        <v>🇲🇽</v>
      </c>
      <c r="U28" s="15" t="b">
        <f t="shared" si="0"/>
        <v>1</v>
      </c>
    </row>
    <row r="29" spans="1:21" ht="16" x14ac:dyDescent="0.2">
      <c r="A29" s="15">
        <v>28</v>
      </c>
      <c r="B29" s="15" t="s">
        <v>625</v>
      </c>
      <c r="C29" s="15" t="s">
        <v>617</v>
      </c>
      <c r="D29" s="16" t="s">
        <v>31</v>
      </c>
      <c r="E29" s="15" t="s">
        <v>523</v>
      </c>
      <c r="F29" s="18">
        <v>53425635</v>
      </c>
      <c r="G29" s="19">
        <v>1.0200000000000001E-2</v>
      </c>
      <c r="H29" s="20">
        <v>539272</v>
      </c>
      <c r="I29" s="15">
        <v>48</v>
      </c>
      <c r="J29" s="20">
        <v>1109500</v>
      </c>
      <c r="K29" s="20">
        <v>129139</v>
      </c>
      <c r="L29" s="15">
        <v>1.62</v>
      </c>
      <c r="M29" s="15">
        <v>32.5</v>
      </c>
      <c r="N29" s="19">
        <v>0.80500000000000005</v>
      </c>
      <c r="O29" s="19">
        <v>6.4999999999999997E-3</v>
      </c>
      <c r="R29" s="15" t="str">
        <f>VLOOKUP(D29,Сountries!V:Z,2,0)</f>
        <v>America</v>
      </c>
      <c r="S29" s="15" t="str">
        <f>VLOOKUP(D29,Сountries!V:Z,3,0)</f>
        <v>South America</v>
      </c>
      <c r="T29" s="15" t="str">
        <f>VLOOKUP(D29,Сountries!V:Z,5,0)</f>
        <v>🇨🇴</v>
      </c>
      <c r="U29" s="15" t="b">
        <f t="shared" si="0"/>
        <v>1</v>
      </c>
    </row>
    <row r="30" spans="1:21" ht="16" x14ac:dyDescent="0.2">
      <c r="A30" s="15">
        <v>29</v>
      </c>
      <c r="B30" s="15" t="s">
        <v>624</v>
      </c>
      <c r="C30" s="15" t="s">
        <v>608</v>
      </c>
      <c r="D30" s="16" t="s">
        <v>32</v>
      </c>
      <c r="E30" s="15" t="s">
        <v>524</v>
      </c>
      <c r="F30" s="18">
        <v>51667029</v>
      </c>
      <c r="G30" s="15" t="s">
        <v>229</v>
      </c>
      <c r="H30" s="15" t="s">
        <v>230</v>
      </c>
      <c r="I30" s="15">
        <v>531</v>
      </c>
      <c r="J30" s="20">
        <v>97230</v>
      </c>
      <c r="K30" s="20">
        <v>65731</v>
      </c>
      <c r="L30" s="15">
        <v>0.75</v>
      </c>
      <c r="M30" s="15">
        <v>45.6</v>
      </c>
      <c r="N30" s="19">
        <v>0.82399999999999995</v>
      </c>
      <c r="O30" s="19">
        <v>6.3E-3</v>
      </c>
      <c r="R30" s="15" t="str">
        <f>VLOOKUP(D30,Сountries!V:Z,2,0)</f>
        <v>Asia</v>
      </c>
      <c r="S30" s="15" t="str">
        <f>VLOOKUP(D30,Сountries!V:Z,3,0)</f>
        <v>Eastern Asia</v>
      </c>
      <c r="T30" s="15" t="str">
        <f>VLOOKUP(D30,Сountries!V:Z,5,0)</f>
        <v>🇰🇷</v>
      </c>
      <c r="U30" s="15" t="b">
        <f t="shared" si="0"/>
        <v>1</v>
      </c>
    </row>
    <row r="31" spans="1:21" ht="16" x14ac:dyDescent="0.2">
      <c r="A31" s="15">
        <v>30</v>
      </c>
      <c r="B31" s="15" t="s">
        <v>627</v>
      </c>
      <c r="C31" s="15" t="s">
        <v>604</v>
      </c>
      <c r="D31" s="16" t="s">
        <v>33</v>
      </c>
      <c r="E31" s="15" t="s">
        <v>526</v>
      </c>
      <c r="F31" s="18">
        <v>51662147</v>
      </c>
      <c r="G31" s="19">
        <v>2.4E-2</v>
      </c>
      <c r="H31" s="20">
        <v>1213184</v>
      </c>
      <c r="I31" s="15">
        <v>29</v>
      </c>
      <c r="J31" s="20">
        <v>1765048</v>
      </c>
      <c r="K31" s="20">
        <v>291469</v>
      </c>
      <c r="L31" s="15">
        <v>4.1900000000000004</v>
      </c>
      <c r="M31" s="15">
        <v>18.5</v>
      </c>
      <c r="N31" s="19">
        <v>0.35299999999999998</v>
      </c>
      <c r="O31" s="19">
        <v>6.3E-3</v>
      </c>
      <c r="R31" s="15" t="str">
        <f>VLOOKUP(D31,Сountries!V:Z,2,0)</f>
        <v>Africa</v>
      </c>
      <c r="S31" s="15" t="str">
        <f>VLOOKUP(D31,Сountries!V:Z,3,0)</f>
        <v>Northern Africa</v>
      </c>
      <c r="T31" s="15" t="str">
        <f>VLOOKUP(D31,Сountries!V:Z,5,0)</f>
        <v>🇸🇩</v>
      </c>
      <c r="U31" s="15" t="b">
        <f t="shared" si="0"/>
        <v>1</v>
      </c>
    </row>
    <row r="32" spans="1:21" ht="16" x14ac:dyDescent="0.2">
      <c r="A32" s="15">
        <v>31</v>
      </c>
      <c r="B32" s="15" t="s">
        <v>627</v>
      </c>
      <c r="C32" s="15" t="s">
        <v>603</v>
      </c>
      <c r="D32" s="16" t="s">
        <v>34</v>
      </c>
      <c r="E32" s="15" t="s">
        <v>527</v>
      </c>
      <c r="F32" s="18">
        <v>51384894</v>
      </c>
      <c r="G32" s="19">
        <v>2.7400000000000001E-2</v>
      </c>
      <c r="H32" s="20">
        <v>1369802</v>
      </c>
      <c r="I32" s="15">
        <v>257</v>
      </c>
      <c r="J32" s="20">
        <v>199810</v>
      </c>
      <c r="K32" s="15" t="s">
        <v>231</v>
      </c>
      <c r="L32" s="15">
        <v>4.0599999999999996</v>
      </c>
      <c r="M32" s="15">
        <v>16.899999999999999</v>
      </c>
      <c r="N32" s="21">
        <v>0.3</v>
      </c>
      <c r="O32" s="19">
        <v>6.1999999999999998E-3</v>
      </c>
      <c r="R32" s="15" t="str">
        <f>VLOOKUP(D32,Сountries!V:Z,2,0)</f>
        <v>Africa</v>
      </c>
      <c r="S32" s="15" t="str">
        <f>VLOOKUP(D32,Сountries!V:Z,3,0)</f>
        <v>Eastern Africa</v>
      </c>
      <c r="T32" s="15" t="str">
        <f>VLOOKUP(D32,Сountries!V:Z,5,0)</f>
        <v>🇺🇬</v>
      </c>
      <c r="U32" s="15" t="b">
        <f t="shared" si="0"/>
        <v>1</v>
      </c>
    </row>
    <row r="33" spans="1:21" ht="16" x14ac:dyDescent="0.2">
      <c r="A33" s="15">
        <v>32</v>
      </c>
      <c r="B33" s="15" t="s">
        <v>626</v>
      </c>
      <c r="C33" s="15" t="s">
        <v>616</v>
      </c>
      <c r="D33" s="16" t="s">
        <v>35</v>
      </c>
      <c r="E33" s="15" t="s">
        <v>528</v>
      </c>
      <c r="F33" s="18">
        <v>47889958</v>
      </c>
      <c r="G33" s="15" t="s">
        <v>232</v>
      </c>
      <c r="H33" s="15" t="s">
        <v>233</v>
      </c>
      <c r="I33" s="15">
        <v>96</v>
      </c>
      <c r="J33" s="20">
        <v>498800</v>
      </c>
      <c r="K33" s="20">
        <v>96630</v>
      </c>
      <c r="L33" s="15">
        <v>1.23</v>
      </c>
      <c r="M33" s="15">
        <v>45.9</v>
      </c>
      <c r="N33" s="19">
        <v>0.79300000000000004</v>
      </c>
      <c r="O33" s="19">
        <v>5.7999999999999996E-3</v>
      </c>
      <c r="R33" s="15" t="str">
        <f>VLOOKUP(D33,Сountries!V:Z,2,0)</f>
        <v>Europe</v>
      </c>
      <c r="S33" s="15" t="str">
        <f>VLOOKUP(D33,Сountries!V:Z,3,0)</f>
        <v>Southern Europe</v>
      </c>
      <c r="T33" s="15" t="str">
        <f>VLOOKUP(D33,Сountries!V:Z,5,0)</f>
        <v>🇪🇸</v>
      </c>
      <c r="U33" s="15" t="b">
        <f t="shared" si="0"/>
        <v>1</v>
      </c>
    </row>
    <row r="34" spans="1:21" ht="16" x14ac:dyDescent="0.2">
      <c r="A34" s="15">
        <v>33</v>
      </c>
      <c r="B34" s="15" t="s">
        <v>627</v>
      </c>
      <c r="C34" s="15" t="s">
        <v>604</v>
      </c>
      <c r="D34" s="16" t="s">
        <v>36</v>
      </c>
      <c r="E34" s="15" t="s">
        <v>529</v>
      </c>
      <c r="F34" s="18">
        <v>47435312</v>
      </c>
      <c r="G34" s="19">
        <v>1.3299999999999999E-2</v>
      </c>
      <c r="H34" s="20">
        <v>621004</v>
      </c>
      <c r="I34" s="15">
        <v>20</v>
      </c>
      <c r="J34" s="20">
        <v>2381740</v>
      </c>
      <c r="K34" s="15" t="s">
        <v>234</v>
      </c>
      <c r="L34" s="15">
        <v>2.67</v>
      </c>
      <c r="M34" s="15">
        <v>28.6</v>
      </c>
      <c r="N34" s="19">
        <v>0.74399999999999999</v>
      </c>
      <c r="O34" s="19">
        <v>5.7999999999999996E-3</v>
      </c>
      <c r="R34" s="15" t="str">
        <f>VLOOKUP(D34,Сountries!V:Z,2,0)</f>
        <v>Africa</v>
      </c>
      <c r="S34" s="15" t="str">
        <f>VLOOKUP(D34,Сountries!V:Z,3,0)</f>
        <v>Northern Africa</v>
      </c>
      <c r="T34" s="15" t="str">
        <f>VLOOKUP(D34,Сountries!V:Z,5,0)</f>
        <v>🇩🇿</v>
      </c>
      <c r="U34" s="15" t="b">
        <f t="shared" si="0"/>
        <v>1</v>
      </c>
    </row>
    <row r="35" spans="1:21" ht="16" x14ac:dyDescent="0.2">
      <c r="A35" s="15">
        <v>34</v>
      </c>
      <c r="B35" s="15" t="s">
        <v>624</v>
      </c>
      <c r="C35" s="15" t="s">
        <v>610</v>
      </c>
      <c r="D35" s="16" t="s">
        <v>37</v>
      </c>
      <c r="E35" s="15" t="s">
        <v>530</v>
      </c>
      <c r="F35" s="18">
        <v>47020774</v>
      </c>
      <c r="G35" s="19">
        <v>2.1299999999999999E-2</v>
      </c>
      <c r="H35" s="20">
        <v>978759</v>
      </c>
      <c r="I35" s="15">
        <v>108</v>
      </c>
      <c r="J35" s="20">
        <v>434320</v>
      </c>
      <c r="K35" s="15" t="s">
        <v>235</v>
      </c>
      <c r="L35" s="15">
        <v>3.17</v>
      </c>
      <c r="M35" s="15">
        <v>20.8</v>
      </c>
      <c r="N35" s="19">
        <v>0.72399999999999998</v>
      </c>
      <c r="O35" s="19">
        <v>5.7000000000000002E-3</v>
      </c>
      <c r="R35" s="15" t="str">
        <f>VLOOKUP(D35,Сountries!V:Z,2,0)</f>
        <v>Asia</v>
      </c>
      <c r="S35" s="15" t="str">
        <f>VLOOKUP(D35,Сountries!V:Z,3,0)</f>
        <v>Western Asia</v>
      </c>
      <c r="T35" s="15" t="str">
        <f>VLOOKUP(D35,Сountries!V:Z,5,0)</f>
        <v>🇮🇶</v>
      </c>
      <c r="U35" s="15" t="b">
        <f t="shared" si="0"/>
        <v>1</v>
      </c>
    </row>
    <row r="36" spans="1:21" ht="16" x14ac:dyDescent="0.2">
      <c r="A36" s="15">
        <v>35</v>
      </c>
      <c r="B36" s="15" t="s">
        <v>625</v>
      </c>
      <c r="C36" s="15" t="s">
        <v>617</v>
      </c>
      <c r="D36" s="16" t="s">
        <v>38</v>
      </c>
      <c r="E36" s="15" t="s">
        <v>531</v>
      </c>
      <c r="F36" s="18">
        <v>45851378</v>
      </c>
      <c r="G36" s="19">
        <v>3.3999999999999998E-3</v>
      </c>
      <c r="H36" s="20">
        <v>155219</v>
      </c>
      <c r="I36" s="15">
        <v>17</v>
      </c>
      <c r="J36" s="20">
        <v>2736690</v>
      </c>
      <c r="K36" s="20">
        <v>2859</v>
      </c>
      <c r="L36" s="15">
        <v>1.5</v>
      </c>
      <c r="M36" s="15">
        <v>32.9</v>
      </c>
      <c r="N36" s="21">
        <v>0.96</v>
      </c>
      <c r="O36" s="19">
        <v>5.5999999999999999E-3</v>
      </c>
      <c r="R36" s="15" t="str">
        <f>VLOOKUP(D36,Сountries!V:Z,2,0)</f>
        <v>America</v>
      </c>
      <c r="S36" s="15" t="str">
        <f>VLOOKUP(D36,Сountries!V:Z,3,0)</f>
        <v>South America</v>
      </c>
      <c r="T36" s="15" t="str">
        <f>VLOOKUP(D36,Сountries!V:Z,5,0)</f>
        <v>🇦🇷</v>
      </c>
      <c r="U36" s="15" t="b">
        <f t="shared" si="0"/>
        <v>1</v>
      </c>
    </row>
    <row r="37" spans="1:21" ht="16" x14ac:dyDescent="0.2">
      <c r="A37" s="15">
        <v>36</v>
      </c>
      <c r="B37" s="15" t="s">
        <v>624</v>
      </c>
      <c r="C37" s="15" t="s">
        <v>607</v>
      </c>
      <c r="D37" s="16" t="s">
        <v>39</v>
      </c>
      <c r="E37" s="15" t="s">
        <v>532</v>
      </c>
      <c r="F37" s="18">
        <v>43844111</v>
      </c>
      <c r="G37" s="19">
        <v>2.81E-2</v>
      </c>
      <c r="H37" s="20">
        <v>1196619</v>
      </c>
      <c r="I37" s="15">
        <v>67</v>
      </c>
      <c r="J37" s="20">
        <v>652860</v>
      </c>
      <c r="K37" s="15" t="s">
        <v>236</v>
      </c>
      <c r="L37" s="15">
        <v>4.66</v>
      </c>
      <c r="M37" s="15">
        <v>17.3</v>
      </c>
      <c r="N37" s="19">
        <v>0.26700000000000002</v>
      </c>
      <c r="O37" s="19">
        <v>5.3E-3</v>
      </c>
      <c r="R37" s="15" t="str">
        <f>VLOOKUP(D37,Сountries!V:Z,2,0)</f>
        <v>Asia</v>
      </c>
      <c r="S37" s="15" t="str">
        <f>VLOOKUP(D37,Сountries!V:Z,3,0)</f>
        <v>Southern Asia</v>
      </c>
      <c r="T37" s="15" t="str">
        <f>VLOOKUP(D37,Сountries!V:Z,5,0)</f>
        <v>🇦🇫</v>
      </c>
      <c r="U37" s="15" t="b">
        <f t="shared" si="0"/>
        <v>1</v>
      </c>
    </row>
    <row r="38" spans="1:21" ht="16" x14ac:dyDescent="0.2">
      <c r="A38" s="15">
        <v>37</v>
      </c>
      <c r="B38" s="15" t="s">
        <v>624</v>
      </c>
      <c r="C38" s="15" t="s">
        <v>610</v>
      </c>
      <c r="D38" s="16" t="s">
        <v>40</v>
      </c>
      <c r="E38" s="15" t="s">
        <v>533</v>
      </c>
      <c r="F38" s="18">
        <v>41773878</v>
      </c>
      <c r="G38" s="19">
        <v>2.93E-2</v>
      </c>
      <c r="H38" s="20">
        <v>1190714</v>
      </c>
      <c r="I38" s="15">
        <v>79</v>
      </c>
      <c r="J38" s="20">
        <v>527970</v>
      </c>
      <c r="K38" s="15" t="s">
        <v>237</v>
      </c>
      <c r="L38" s="15">
        <v>4.41</v>
      </c>
      <c r="M38" s="15">
        <v>18.399999999999999</v>
      </c>
      <c r="N38" s="21">
        <v>0.33</v>
      </c>
      <c r="O38" s="19">
        <v>5.1000000000000004E-3</v>
      </c>
      <c r="R38" s="15" t="str">
        <f>VLOOKUP(D38,Сountries!V:Z,2,0)</f>
        <v>Asia</v>
      </c>
      <c r="S38" s="15" t="str">
        <f>VLOOKUP(D38,Сountries!V:Z,3,0)</f>
        <v>Western Asia</v>
      </c>
      <c r="T38" s="15" t="str">
        <f>VLOOKUP(D38,Сountries!V:Z,5,0)</f>
        <v>🇾🇪</v>
      </c>
      <c r="U38" s="15" t="b">
        <f t="shared" si="0"/>
        <v>1</v>
      </c>
    </row>
    <row r="39" spans="1:21" ht="16" x14ac:dyDescent="0.2">
      <c r="A39" s="15">
        <v>38</v>
      </c>
      <c r="B39" s="15" t="s">
        <v>625</v>
      </c>
      <c r="C39" s="15" t="s">
        <v>623</v>
      </c>
      <c r="D39" s="16" t="s">
        <v>41</v>
      </c>
      <c r="E39" s="15" t="s">
        <v>534</v>
      </c>
      <c r="F39" s="18">
        <v>40126723</v>
      </c>
      <c r="G39" s="19">
        <v>9.7000000000000003E-3</v>
      </c>
      <c r="H39" s="20">
        <v>384293</v>
      </c>
      <c r="I39" s="15">
        <v>4</v>
      </c>
      <c r="J39" s="20">
        <v>9093510</v>
      </c>
      <c r="K39" s="20">
        <v>326204</v>
      </c>
      <c r="L39" s="15">
        <v>1.33</v>
      </c>
      <c r="M39" s="15">
        <v>40.6</v>
      </c>
      <c r="N39" s="19">
        <v>0.80200000000000005</v>
      </c>
      <c r="O39" s="19">
        <v>4.8999999999999998E-3</v>
      </c>
      <c r="R39" s="15" t="str">
        <f>VLOOKUP(D39,Сountries!V:Z,2,0)</f>
        <v>America</v>
      </c>
      <c r="S39" s="15" t="str">
        <f>VLOOKUP(D39,Сountries!V:Z,3,0)</f>
        <v>Northern America</v>
      </c>
      <c r="T39" s="15" t="str">
        <f>VLOOKUP(D39,Сountries!V:Z,5,0)</f>
        <v>🇨🇦</v>
      </c>
      <c r="U39" s="15" t="b">
        <f t="shared" si="0"/>
        <v>1</v>
      </c>
    </row>
    <row r="40" spans="1:21" ht="16" x14ac:dyDescent="0.2">
      <c r="A40" s="15">
        <v>39</v>
      </c>
      <c r="B40" s="15" t="s">
        <v>627</v>
      </c>
      <c r="C40" s="15" t="s">
        <v>605</v>
      </c>
      <c r="D40" s="16" t="s">
        <v>42</v>
      </c>
      <c r="E40" s="15" t="s">
        <v>535</v>
      </c>
      <c r="F40" s="18">
        <v>39040039</v>
      </c>
      <c r="G40" s="19">
        <v>3.0499999999999999E-2</v>
      </c>
      <c r="H40" s="20">
        <v>1154190</v>
      </c>
      <c r="I40" s="15">
        <v>31</v>
      </c>
      <c r="J40" s="20">
        <v>1246700</v>
      </c>
      <c r="K40" s="15" t="s">
        <v>238</v>
      </c>
      <c r="L40" s="15">
        <v>4.95</v>
      </c>
      <c r="M40" s="15">
        <v>16.600000000000001</v>
      </c>
      <c r="N40" s="19">
        <v>0.68799999999999994</v>
      </c>
      <c r="O40" s="19">
        <v>4.7000000000000002E-3</v>
      </c>
      <c r="R40" s="15" t="str">
        <f>VLOOKUP(D40,Сountries!V:Z,2,0)</f>
        <v>Africa</v>
      </c>
      <c r="S40" s="15" t="str">
        <f>VLOOKUP(D40,Сountries!V:Z,3,0)</f>
        <v>Middle Africa</v>
      </c>
      <c r="T40" s="15" t="str">
        <f>VLOOKUP(D40,Сountries!V:Z,5,0)</f>
        <v>🇦🇴</v>
      </c>
      <c r="U40" s="15" t="b">
        <f t="shared" si="0"/>
        <v>1</v>
      </c>
    </row>
    <row r="41" spans="1:21" ht="16" x14ac:dyDescent="0.2">
      <c r="A41" s="15">
        <v>40</v>
      </c>
      <c r="B41" s="15" t="s">
        <v>626</v>
      </c>
      <c r="C41" s="15" t="s">
        <v>613</v>
      </c>
      <c r="D41" s="16" t="s">
        <v>43</v>
      </c>
      <c r="E41" s="15" t="s">
        <v>536</v>
      </c>
      <c r="F41" s="18">
        <v>38980376</v>
      </c>
      <c r="G41" s="19">
        <v>2.9600000000000001E-2</v>
      </c>
      <c r="H41" s="20">
        <v>1120155</v>
      </c>
      <c r="I41" s="15">
        <v>67</v>
      </c>
      <c r="J41" s="20">
        <v>579320</v>
      </c>
      <c r="K41" s="20">
        <v>1702358</v>
      </c>
      <c r="L41" s="15">
        <v>1</v>
      </c>
      <c r="M41" s="15">
        <v>41.8</v>
      </c>
      <c r="N41" s="19">
        <v>0.76800000000000002</v>
      </c>
      <c r="O41" s="19">
        <v>4.7000000000000002E-3</v>
      </c>
      <c r="R41" s="15" t="str">
        <f>VLOOKUP(D41,Сountries!V:Z,2,0)</f>
        <v>Europe</v>
      </c>
      <c r="S41" s="15" t="str">
        <f>VLOOKUP(D41,Сountries!V:Z,3,0)</f>
        <v>Eastern Europe</v>
      </c>
      <c r="T41" s="15" t="str">
        <f>VLOOKUP(D41,Сountries!V:Z,5,0)</f>
        <v>🇺🇦</v>
      </c>
      <c r="U41" s="15" t="b">
        <f t="shared" si="0"/>
        <v>1</v>
      </c>
    </row>
    <row r="42" spans="1:21" ht="16" x14ac:dyDescent="0.2">
      <c r="A42" s="15">
        <v>41</v>
      </c>
      <c r="B42" s="15" t="s">
        <v>627</v>
      </c>
      <c r="C42" s="15" t="s">
        <v>604</v>
      </c>
      <c r="D42" s="16" t="s">
        <v>44</v>
      </c>
      <c r="E42" s="15" t="s">
        <v>537</v>
      </c>
      <c r="F42" s="18">
        <v>38430770</v>
      </c>
      <c r="G42" s="19">
        <v>9.1999999999999998E-3</v>
      </c>
      <c r="H42" s="20">
        <v>349597</v>
      </c>
      <c r="I42" s="15">
        <v>86</v>
      </c>
      <c r="J42" s="20">
        <v>446300</v>
      </c>
      <c r="K42" s="15" t="s">
        <v>239</v>
      </c>
      <c r="L42" s="15">
        <v>2.1800000000000002</v>
      </c>
      <c r="M42" s="15">
        <v>29.8</v>
      </c>
      <c r="N42" s="19">
        <v>0.67300000000000004</v>
      </c>
      <c r="O42" s="19">
        <v>4.7000000000000002E-3</v>
      </c>
      <c r="R42" s="15" t="str">
        <f>VLOOKUP(D42,Сountries!V:Z,2,0)</f>
        <v>Africa</v>
      </c>
      <c r="S42" s="15" t="str">
        <f>VLOOKUP(D42,Сountries!V:Z,3,0)</f>
        <v>Northern Africa</v>
      </c>
      <c r="T42" s="15" t="str">
        <f>VLOOKUP(D42,Сountries!V:Z,5,0)</f>
        <v>🇲🇦</v>
      </c>
      <c r="U42" s="15" t="b">
        <f t="shared" si="0"/>
        <v>1</v>
      </c>
    </row>
    <row r="43" spans="1:21" ht="16" x14ac:dyDescent="0.2">
      <c r="A43" s="15">
        <v>42</v>
      </c>
      <c r="B43" s="15" t="s">
        <v>626</v>
      </c>
      <c r="C43" s="15" t="s">
        <v>613</v>
      </c>
      <c r="D43" s="16" t="s">
        <v>45</v>
      </c>
      <c r="E43" s="15" t="s">
        <v>538</v>
      </c>
      <c r="F43" s="18">
        <v>38140910</v>
      </c>
      <c r="G43" s="15" t="s">
        <v>240</v>
      </c>
      <c r="H43" s="15" t="s">
        <v>241</v>
      </c>
      <c r="I43" s="15">
        <v>125</v>
      </c>
      <c r="J43" s="20">
        <v>306230</v>
      </c>
      <c r="K43" s="15" t="s">
        <v>242</v>
      </c>
      <c r="L43" s="15">
        <v>1.31</v>
      </c>
      <c r="M43" s="15">
        <v>42.5</v>
      </c>
      <c r="N43" s="19">
        <v>0.59199999999999997</v>
      </c>
      <c r="O43" s="19">
        <v>4.5999999999999999E-3</v>
      </c>
      <c r="R43" s="15" t="str">
        <f>VLOOKUP(D43,Сountries!V:Z,2,0)</f>
        <v>Europe</v>
      </c>
      <c r="S43" s="15" t="str">
        <f>VLOOKUP(D43,Сountries!V:Z,3,0)</f>
        <v>Eastern Europe</v>
      </c>
      <c r="T43" s="15" t="str">
        <f>VLOOKUP(D43,Сountries!V:Z,5,0)</f>
        <v>🇵🇱</v>
      </c>
      <c r="U43" s="15" t="b">
        <f t="shared" si="0"/>
        <v>1</v>
      </c>
    </row>
    <row r="44" spans="1:21" ht="16" x14ac:dyDescent="0.2">
      <c r="A44" s="15">
        <v>43</v>
      </c>
      <c r="B44" s="15" t="s">
        <v>624</v>
      </c>
      <c r="C44" s="15" t="s">
        <v>611</v>
      </c>
      <c r="D44" s="16" t="s">
        <v>46</v>
      </c>
      <c r="E44" s="15" t="s">
        <v>539</v>
      </c>
      <c r="F44" s="18">
        <v>37053428</v>
      </c>
      <c r="G44" s="19">
        <v>1.9E-2</v>
      </c>
      <c r="H44" s="20">
        <v>691569</v>
      </c>
      <c r="I44" s="15">
        <v>87</v>
      </c>
      <c r="J44" s="20">
        <v>425400</v>
      </c>
      <c r="K44" s="15" t="s">
        <v>243</v>
      </c>
      <c r="L44" s="15">
        <v>3.45</v>
      </c>
      <c r="M44" s="15">
        <v>27</v>
      </c>
      <c r="N44" s="19">
        <v>0.48099999999999998</v>
      </c>
      <c r="O44" s="19">
        <v>4.4999999999999997E-3</v>
      </c>
      <c r="R44" s="15" t="str">
        <f>VLOOKUP(D44,Сountries!V:Z,2,0)</f>
        <v>Asia</v>
      </c>
      <c r="S44" s="15" t="str">
        <f>VLOOKUP(D44,Сountries!V:Z,3,0)</f>
        <v>Central Asia</v>
      </c>
      <c r="T44" s="15" t="str">
        <f>VLOOKUP(D44,Сountries!V:Z,5,0)</f>
        <v>🇺🇿</v>
      </c>
      <c r="U44" s="15" t="b">
        <f t="shared" si="0"/>
        <v>1</v>
      </c>
    </row>
    <row r="45" spans="1:21" ht="16" x14ac:dyDescent="0.2">
      <c r="A45" s="15">
        <v>44</v>
      </c>
      <c r="B45" s="15" t="s">
        <v>624</v>
      </c>
      <c r="C45" s="15" t="s">
        <v>609</v>
      </c>
      <c r="D45" s="16" t="s">
        <v>47</v>
      </c>
      <c r="E45" s="15" t="s">
        <v>540</v>
      </c>
      <c r="F45" s="18">
        <v>35977838</v>
      </c>
      <c r="G45" s="19">
        <v>1.18E-2</v>
      </c>
      <c r="H45" s="20">
        <v>420165</v>
      </c>
      <c r="I45" s="15">
        <v>110</v>
      </c>
      <c r="J45" s="20">
        <v>328550</v>
      </c>
      <c r="K45" s="20">
        <v>166615</v>
      </c>
      <c r="L45" s="15">
        <v>1.53</v>
      </c>
      <c r="M45" s="15">
        <v>31</v>
      </c>
      <c r="N45" s="19">
        <v>0.77400000000000002</v>
      </c>
      <c r="O45" s="19">
        <v>4.4000000000000003E-3</v>
      </c>
      <c r="R45" s="15" t="str">
        <f>VLOOKUP(D45,Сountries!V:Z,2,0)</f>
        <v>Asia</v>
      </c>
      <c r="S45" s="15" t="str">
        <f>VLOOKUP(D45,Сountries!V:Z,3,0)</f>
        <v>South-Eastern Asia</v>
      </c>
      <c r="T45" s="15" t="str">
        <f>VLOOKUP(D45,Сountries!V:Z,5,0)</f>
        <v>🇲🇾</v>
      </c>
      <c r="U45" s="15" t="b">
        <f t="shared" si="0"/>
        <v>1</v>
      </c>
    </row>
    <row r="46" spans="1:21" ht="16" x14ac:dyDescent="0.2">
      <c r="A46" s="15">
        <v>45</v>
      </c>
      <c r="B46" s="15" t="s">
        <v>627</v>
      </c>
      <c r="C46" s="15" t="s">
        <v>603</v>
      </c>
      <c r="D46" s="16" t="s">
        <v>48</v>
      </c>
      <c r="E46" s="15" t="s">
        <v>548</v>
      </c>
      <c r="F46" s="18">
        <v>35631653</v>
      </c>
      <c r="G46" s="19">
        <v>2.8899999999999999E-2</v>
      </c>
      <c r="H46" s="20">
        <v>999887</v>
      </c>
      <c r="I46" s="15">
        <v>45</v>
      </c>
      <c r="J46" s="20">
        <v>786380</v>
      </c>
      <c r="K46" s="15" t="s">
        <v>244</v>
      </c>
      <c r="L46" s="15">
        <v>4.62</v>
      </c>
      <c r="M46" s="15">
        <v>16.5</v>
      </c>
      <c r="N46" s="19">
        <v>0.41599999999999998</v>
      </c>
      <c r="O46" s="19">
        <v>4.3E-3</v>
      </c>
      <c r="R46" s="15" t="str">
        <f>VLOOKUP(D46,Сountries!V:Z,2,0)</f>
        <v>Africa</v>
      </c>
      <c r="S46" s="15" t="str">
        <f>VLOOKUP(D46,Сountries!V:Z,3,0)</f>
        <v>Eastern Africa</v>
      </c>
      <c r="T46" s="15" t="str">
        <f>VLOOKUP(D46,Сountries!V:Z,5,0)</f>
        <v>🇲🇿</v>
      </c>
      <c r="U46" s="15" t="b">
        <f t="shared" si="0"/>
        <v>1</v>
      </c>
    </row>
    <row r="47" spans="1:21" ht="16" x14ac:dyDescent="0.2">
      <c r="A47" s="15">
        <v>46</v>
      </c>
      <c r="B47" s="15" t="s">
        <v>627</v>
      </c>
      <c r="C47" s="15" t="s">
        <v>602</v>
      </c>
      <c r="D47" s="16" t="s">
        <v>49</v>
      </c>
      <c r="E47" s="15" t="s">
        <v>549</v>
      </c>
      <c r="F47" s="18">
        <v>35064272</v>
      </c>
      <c r="G47" s="19">
        <v>1.8499999999999999E-2</v>
      </c>
      <c r="H47" s="20">
        <v>636858</v>
      </c>
      <c r="I47" s="15">
        <v>154</v>
      </c>
      <c r="J47" s="20">
        <v>227540</v>
      </c>
      <c r="K47" s="15" t="s">
        <v>245</v>
      </c>
      <c r="L47" s="15">
        <v>3.3</v>
      </c>
      <c r="M47" s="15">
        <v>21.3</v>
      </c>
      <c r="N47" s="19">
        <v>0.58599999999999997</v>
      </c>
      <c r="O47" s="19">
        <v>4.3E-3</v>
      </c>
      <c r="R47" s="15" t="str">
        <f>VLOOKUP(D47,Сountries!V:Z,2,0)</f>
        <v>Africa</v>
      </c>
      <c r="S47" s="15" t="str">
        <f>VLOOKUP(D47,Сountries!V:Z,3,0)</f>
        <v>Western Africa</v>
      </c>
      <c r="T47" s="15" t="str">
        <f>VLOOKUP(D47,Сountries!V:Z,5,0)</f>
        <v>🇬🇭</v>
      </c>
      <c r="U47" s="15" t="b">
        <f t="shared" si="0"/>
        <v>1</v>
      </c>
    </row>
    <row r="48" spans="1:21" ht="16" x14ac:dyDescent="0.2">
      <c r="A48" s="15">
        <v>47</v>
      </c>
      <c r="B48" s="15" t="s">
        <v>625</v>
      </c>
      <c r="C48" s="15" t="s">
        <v>617</v>
      </c>
      <c r="D48" s="16" t="s">
        <v>50</v>
      </c>
      <c r="E48" s="15" t="s">
        <v>550</v>
      </c>
      <c r="F48" s="18">
        <v>34576665</v>
      </c>
      <c r="G48" s="19">
        <v>1.0500000000000001E-2</v>
      </c>
      <c r="H48" s="20">
        <v>358817</v>
      </c>
      <c r="I48" s="15">
        <v>27</v>
      </c>
      <c r="J48" s="20">
        <v>1280000</v>
      </c>
      <c r="K48" s="20">
        <v>11931</v>
      </c>
      <c r="L48" s="15">
        <v>1.94</v>
      </c>
      <c r="M48" s="15">
        <v>30.2</v>
      </c>
      <c r="N48" s="19">
        <v>0.80600000000000005</v>
      </c>
      <c r="O48" s="19">
        <v>4.1999999999999997E-3</v>
      </c>
      <c r="R48" s="15" t="str">
        <f>VLOOKUP(D48,Сountries!V:Z,2,0)</f>
        <v>America</v>
      </c>
      <c r="S48" s="15" t="str">
        <f>VLOOKUP(D48,Сountries!V:Z,3,0)</f>
        <v>South America</v>
      </c>
      <c r="T48" s="15" t="str">
        <f>VLOOKUP(D48,Сountries!V:Z,5,0)</f>
        <v>🇵🇪</v>
      </c>
      <c r="U48" s="15" t="b">
        <f t="shared" si="0"/>
        <v>1</v>
      </c>
    </row>
    <row r="49" spans="1:21" ht="16" x14ac:dyDescent="0.2">
      <c r="A49" s="15">
        <v>48</v>
      </c>
      <c r="B49" s="15" t="s">
        <v>624</v>
      </c>
      <c r="C49" s="15" t="s">
        <v>610</v>
      </c>
      <c r="D49" s="16" t="s">
        <v>51</v>
      </c>
      <c r="E49" s="15" t="s">
        <v>551</v>
      </c>
      <c r="F49" s="18">
        <v>34566328</v>
      </c>
      <c r="G49" s="19">
        <v>1.78E-2</v>
      </c>
      <c r="H49" s="20">
        <v>603571</v>
      </c>
      <c r="I49" s="15">
        <v>16</v>
      </c>
      <c r="J49" s="20">
        <v>2149690</v>
      </c>
      <c r="K49" s="20">
        <v>119738</v>
      </c>
      <c r="L49" s="15">
        <v>2.29</v>
      </c>
      <c r="M49" s="15">
        <v>29.6</v>
      </c>
      <c r="N49" s="19">
        <v>0.92100000000000004</v>
      </c>
      <c r="O49" s="19">
        <v>4.1999999999999997E-3</v>
      </c>
      <c r="R49" s="15" t="str">
        <f>VLOOKUP(D49,Сountries!V:Z,2,0)</f>
        <v>Asia</v>
      </c>
      <c r="S49" s="15" t="str">
        <f>VLOOKUP(D49,Сountries!V:Z,3,0)</f>
        <v>Western Asia</v>
      </c>
      <c r="T49" s="15" t="str">
        <f>VLOOKUP(D49,Сountries!V:Z,5,0)</f>
        <v>🇸🇦</v>
      </c>
      <c r="U49" s="15" t="b">
        <f t="shared" si="0"/>
        <v>1</v>
      </c>
    </row>
    <row r="50" spans="1:21" ht="16" x14ac:dyDescent="0.2">
      <c r="A50" s="15">
        <v>49</v>
      </c>
      <c r="B50" s="15" t="s">
        <v>627</v>
      </c>
      <c r="C50" s="15" t="s">
        <v>603</v>
      </c>
      <c r="D50" s="16" t="s">
        <v>52</v>
      </c>
      <c r="E50" s="15" t="s">
        <v>542</v>
      </c>
      <c r="F50" s="18">
        <v>32740678</v>
      </c>
      <c r="G50" s="19">
        <v>2.4299999999999999E-2</v>
      </c>
      <c r="H50" s="20">
        <v>775722</v>
      </c>
      <c r="I50" s="15">
        <v>56</v>
      </c>
      <c r="J50" s="20">
        <v>581795</v>
      </c>
      <c r="K50" s="15" t="s">
        <v>246</v>
      </c>
      <c r="L50" s="15">
        <v>3.85</v>
      </c>
      <c r="M50" s="15">
        <v>19.2</v>
      </c>
      <c r="N50" s="19">
        <v>0.40300000000000002</v>
      </c>
      <c r="O50" s="19">
        <v>4.0000000000000001E-3</v>
      </c>
      <c r="R50" s="15" t="str">
        <f>VLOOKUP(D50,Сountries!V:Z,2,0)</f>
        <v>Africa</v>
      </c>
      <c r="S50" s="15" t="str">
        <f>VLOOKUP(D50,Сountries!V:Z,3,0)</f>
        <v>Eastern Africa</v>
      </c>
      <c r="T50" s="15" t="str">
        <f>VLOOKUP(D50,Сountries!V:Z,5,0)</f>
        <v>🇲🇬</v>
      </c>
      <c r="U50" s="15" t="b">
        <f t="shared" si="0"/>
        <v>1</v>
      </c>
    </row>
    <row r="51" spans="1:21" ht="16" x14ac:dyDescent="0.2">
      <c r="A51" s="15">
        <v>50</v>
      </c>
      <c r="B51" s="15" t="s">
        <v>627</v>
      </c>
      <c r="C51" s="15" t="s">
        <v>602</v>
      </c>
      <c r="D51" s="16" t="s">
        <v>53</v>
      </c>
      <c r="E51" s="15" t="s">
        <v>552</v>
      </c>
      <c r="F51" s="18">
        <v>32711547</v>
      </c>
      <c r="G51" s="19">
        <v>2.4299999999999999E-2</v>
      </c>
      <c r="H51" s="20">
        <v>777317</v>
      </c>
      <c r="I51" s="15">
        <v>103</v>
      </c>
      <c r="J51" s="20">
        <v>318000</v>
      </c>
      <c r="K51" s="20">
        <v>11305</v>
      </c>
      <c r="L51" s="15">
        <v>4.17</v>
      </c>
      <c r="M51" s="15">
        <v>18.3</v>
      </c>
      <c r="N51" s="21">
        <v>0.49</v>
      </c>
      <c r="O51" s="19">
        <v>4.0000000000000001E-3</v>
      </c>
      <c r="R51" s="15" t="str">
        <f>VLOOKUP(D51,Сountries!V:Z,2,0)</f>
        <v>Africa</v>
      </c>
      <c r="S51" s="15" t="str">
        <f>VLOOKUP(D51,Сountries!V:Z,3,0)</f>
        <v>Western Africa</v>
      </c>
      <c r="T51" s="15" t="str">
        <f>VLOOKUP(D51,Сountries!V:Z,5,0)</f>
        <v>🇨🇮</v>
      </c>
      <c r="U51" s="15" t="b">
        <f t="shared" si="0"/>
        <v>1</v>
      </c>
    </row>
    <row r="52" spans="1:21" ht="16" x14ac:dyDescent="0.2">
      <c r="A52" s="15">
        <v>51</v>
      </c>
      <c r="B52" s="15" t="s">
        <v>627</v>
      </c>
      <c r="C52" s="15" t="s">
        <v>605</v>
      </c>
      <c r="D52" s="16" t="s">
        <v>54</v>
      </c>
      <c r="E52" s="15" t="s">
        <v>553</v>
      </c>
      <c r="F52" s="18">
        <v>29879337</v>
      </c>
      <c r="G52" s="19">
        <v>2.5899999999999999E-2</v>
      </c>
      <c r="H52" s="20">
        <v>755593</v>
      </c>
      <c r="I52" s="15">
        <v>63</v>
      </c>
      <c r="J52" s="20">
        <v>472710</v>
      </c>
      <c r="K52" s="15" t="s">
        <v>247</v>
      </c>
      <c r="L52" s="15">
        <v>4.18</v>
      </c>
      <c r="M52" s="15">
        <v>18</v>
      </c>
      <c r="N52" s="19">
        <v>0.59399999999999997</v>
      </c>
      <c r="O52" s="19">
        <v>3.5999999999999999E-3</v>
      </c>
      <c r="R52" s="15" t="str">
        <f>VLOOKUP(D52,Сountries!V:Z,2,0)</f>
        <v>Africa</v>
      </c>
      <c r="S52" s="15" t="str">
        <f>VLOOKUP(D52,Сountries!V:Z,3,0)</f>
        <v>Middle Africa</v>
      </c>
      <c r="T52" s="15" t="str">
        <f>VLOOKUP(D52,Сountries!V:Z,5,0)</f>
        <v>🇨🇲</v>
      </c>
      <c r="U52" s="15" t="b">
        <f t="shared" si="0"/>
        <v>1</v>
      </c>
    </row>
    <row r="53" spans="1:21" ht="16" x14ac:dyDescent="0.2">
      <c r="A53" s="15">
        <v>52</v>
      </c>
      <c r="B53" s="15" t="s">
        <v>624</v>
      </c>
      <c r="C53" s="15" t="s">
        <v>607</v>
      </c>
      <c r="D53" s="16" t="s">
        <v>55</v>
      </c>
      <c r="E53" s="15" t="s">
        <v>554</v>
      </c>
      <c r="F53" s="18">
        <v>29618118</v>
      </c>
      <c r="G53" s="15" t="s">
        <v>248</v>
      </c>
      <c r="H53" s="15" t="s">
        <v>249</v>
      </c>
      <c r="I53" s="15">
        <v>207</v>
      </c>
      <c r="J53" s="20">
        <v>143350</v>
      </c>
      <c r="K53" s="15" t="s">
        <v>250</v>
      </c>
      <c r="L53" s="15">
        <v>1.94</v>
      </c>
      <c r="M53" s="15">
        <v>25.3</v>
      </c>
      <c r="N53" s="19">
        <v>0.245</v>
      </c>
      <c r="O53" s="19">
        <v>3.5999999999999999E-3</v>
      </c>
      <c r="R53" s="15" t="str">
        <f>VLOOKUP(D53,Сountries!V:Z,2,0)</f>
        <v>Asia</v>
      </c>
      <c r="S53" s="15" t="str">
        <f>VLOOKUP(D53,Сountries!V:Z,3,0)</f>
        <v>Southern Asia</v>
      </c>
      <c r="T53" s="15" t="str">
        <f>VLOOKUP(D53,Сountries!V:Z,5,0)</f>
        <v>🇳🇵</v>
      </c>
      <c r="U53" s="15" t="b">
        <f t="shared" si="0"/>
        <v>1</v>
      </c>
    </row>
    <row r="54" spans="1:21" ht="16" x14ac:dyDescent="0.2">
      <c r="A54" s="15">
        <v>53</v>
      </c>
      <c r="B54" s="15" t="s">
        <v>625</v>
      </c>
      <c r="C54" s="15" t="s">
        <v>617</v>
      </c>
      <c r="D54" s="16" t="s">
        <v>56</v>
      </c>
      <c r="E54" s="15" t="s">
        <v>555</v>
      </c>
      <c r="F54" s="18">
        <v>28516896</v>
      </c>
      <c r="G54" s="19">
        <v>3.8999999999999998E-3</v>
      </c>
      <c r="H54" s="20">
        <v>111353</v>
      </c>
      <c r="I54" s="15">
        <v>32</v>
      </c>
      <c r="J54" s="20">
        <v>882050</v>
      </c>
      <c r="K54" s="15" t="s">
        <v>251</v>
      </c>
      <c r="L54" s="15">
        <v>2.06</v>
      </c>
      <c r="M54" s="15">
        <v>29.4</v>
      </c>
      <c r="O54" s="19">
        <v>3.5000000000000001E-3</v>
      </c>
      <c r="R54" s="15" t="str">
        <f>VLOOKUP(D54,Сountries!V:Z,2,0)</f>
        <v>America</v>
      </c>
      <c r="S54" s="15" t="str">
        <f>VLOOKUP(D54,Сountries!V:Z,3,0)</f>
        <v>South America</v>
      </c>
      <c r="T54" s="15" t="str">
        <f>VLOOKUP(D54,Сountries!V:Z,5,0)</f>
        <v>🇻🇪</v>
      </c>
      <c r="U54" s="15" t="b">
        <f t="shared" si="0"/>
        <v>1</v>
      </c>
    </row>
    <row r="55" spans="1:21" ht="16" x14ac:dyDescent="0.2">
      <c r="A55" s="15">
        <v>54</v>
      </c>
      <c r="B55" s="15" t="s">
        <v>627</v>
      </c>
      <c r="C55" s="15" t="s">
        <v>602</v>
      </c>
      <c r="D55" s="16" t="s">
        <v>57</v>
      </c>
      <c r="E55" s="15" t="s">
        <v>556</v>
      </c>
      <c r="F55" s="18">
        <v>27917831</v>
      </c>
      <c r="G55" s="19">
        <v>3.2800000000000003E-2</v>
      </c>
      <c r="H55" s="20">
        <v>885419</v>
      </c>
      <c r="I55" s="15">
        <v>22</v>
      </c>
      <c r="J55" s="20">
        <v>1266700</v>
      </c>
      <c r="K55" s="15" t="s">
        <v>252</v>
      </c>
      <c r="L55" s="15">
        <v>5.79</v>
      </c>
      <c r="M55" s="15">
        <v>15.6</v>
      </c>
      <c r="N55" s="19">
        <v>0.182</v>
      </c>
      <c r="O55" s="19">
        <v>3.3999999999999998E-3</v>
      </c>
      <c r="R55" s="15" t="str">
        <f>VLOOKUP(D55,Сountries!V:Z,2,0)</f>
        <v>Africa</v>
      </c>
      <c r="S55" s="15" t="str">
        <f>VLOOKUP(D55,Сountries!V:Z,3,0)</f>
        <v>Western Africa</v>
      </c>
      <c r="T55" s="15" t="str">
        <f>VLOOKUP(D55,Сountries!V:Z,5,0)</f>
        <v>🇳🇪</v>
      </c>
      <c r="U55" s="15" t="b">
        <f t="shared" si="0"/>
        <v>1</v>
      </c>
    </row>
    <row r="56" spans="1:21" ht="16" x14ac:dyDescent="0.2">
      <c r="A56" s="15">
        <v>55</v>
      </c>
      <c r="B56" s="15" t="s">
        <v>620</v>
      </c>
      <c r="C56" s="15" t="s">
        <v>620</v>
      </c>
      <c r="D56" s="16" t="s">
        <v>58</v>
      </c>
      <c r="E56" s="15" t="s">
        <v>597</v>
      </c>
      <c r="F56" s="18">
        <v>26974026</v>
      </c>
      <c r="G56" s="19">
        <v>9.7999999999999997E-3</v>
      </c>
      <c r="H56" s="20">
        <v>260821</v>
      </c>
      <c r="I56" s="15">
        <v>4</v>
      </c>
      <c r="J56" s="20">
        <v>7682300</v>
      </c>
      <c r="K56" s="20">
        <v>137109</v>
      </c>
      <c r="L56" s="15">
        <v>1.64</v>
      </c>
      <c r="M56" s="15">
        <v>38.299999999999997</v>
      </c>
      <c r="N56" s="19">
        <v>0.86499999999999999</v>
      </c>
      <c r="O56" s="19">
        <v>3.3E-3</v>
      </c>
      <c r="R56" s="15" t="str">
        <f>VLOOKUP(D56,Сountries!V:Z,2,0)</f>
        <v>Australia and New Zealand</v>
      </c>
      <c r="S56" s="15" t="str">
        <f>VLOOKUP(D56,Сountries!V:Z,3,0)</f>
        <v>Australia and New Zealand</v>
      </c>
      <c r="T56" s="15" t="str">
        <f>VLOOKUP(D56,Сountries!V:Z,5,0)</f>
        <v>🇦🇺</v>
      </c>
      <c r="U56" s="15" t="b">
        <f t="shared" si="0"/>
        <v>1</v>
      </c>
    </row>
    <row r="57" spans="1:21" ht="16" x14ac:dyDescent="0.2">
      <c r="A57" s="15">
        <v>56</v>
      </c>
      <c r="B57" s="15" t="s">
        <v>624</v>
      </c>
      <c r="C57" s="15" t="s">
        <v>608</v>
      </c>
      <c r="D57" s="16" t="s">
        <v>59</v>
      </c>
      <c r="E57" s="15" t="s">
        <v>525</v>
      </c>
      <c r="F57" s="18">
        <v>26571036</v>
      </c>
      <c r="G57" s="19">
        <v>2.7000000000000001E-3</v>
      </c>
      <c r="H57" s="20">
        <v>72213</v>
      </c>
      <c r="I57" s="15">
        <v>221</v>
      </c>
      <c r="J57" s="20">
        <v>120410</v>
      </c>
      <c r="K57" s="15" t="s">
        <v>253</v>
      </c>
      <c r="L57" s="15">
        <v>1.77</v>
      </c>
      <c r="M57" s="15">
        <v>36.5</v>
      </c>
      <c r="N57" s="19">
        <v>0.63300000000000001</v>
      </c>
      <c r="O57" s="19">
        <v>3.2000000000000002E-3</v>
      </c>
      <c r="R57" s="15" t="str">
        <f>VLOOKUP(D57,Сountries!V:Z,2,0)</f>
        <v>Asia</v>
      </c>
      <c r="S57" s="15" t="str">
        <f>VLOOKUP(D57,Сountries!V:Z,3,0)</f>
        <v>Eastern Asia</v>
      </c>
      <c r="T57" s="15" t="str">
        <f>VLOOKUP(D57,Сountries!V:Z,5,0)</f>
        <v>🇰🇵</v>
      </c>
      <c r="U57" s="15" t="b">
        <f t="shared" si="0"/>
        <v>1</v>
      </c>
    </row>
    <row r="58" spans="1:21" ht="16" x14ac:dyDescent="0.2">
      <c r="A58" s="15">
        <v>57</v>
      </c>
      <c r="B58" s="15" t="s">
        <v>624</v>
      </c>
      <c r="C58" s="15" t="s">
        <v>610</v>
      </c>
      <c r="D58" s="16" t="s">
        <v>60</v>
      </c>
      <c r="E58" s="15" t="s">
        <v>558</v>
      </c>
      <c r="F58" s="18">
        <v>25620427</v>
      </c>
      <c r="G58" s="19">
        <v>3.8399999999999997E-2</v>
      </c>
      <c r="H58" s="20">
        <v>947667</v>
      </c>
      <c r="I58" s="15">
        <v>140</v>
      </c>
      <c r="J58" s="20">
        <v>183630</v>
      </c>
      <c r="K58" s="20">
        <v>421693</v>
      </c>
      <c r="L58" s="15">
        <v>2.66</v>
      </c>
      <c r="M58" s="15">
        <v>23.3</v>
      </c>
      <c r="N58" s="19">
        <v>0.53600000000000003</v>
      </c>
      <c r="O58" s="19">
        <v>3.0999999999999999E-3</v>
      </c>
      <c r="R58" s="15" t="str">
        <f>VLOOKUP(D58,Сountries!V:Z,2,0)</f>
        <v>Asia</v>
      </c>
      <c r="S58" s="15" t="str">
        <f>VLOOKUP(D58,Сountries!V:Z,3,0)</f>
        <v>Western Asia</v>
      </c>
      <c r="T58" s="15" t="str">
        <f>VLOOKUP(D58,Сountries!V:Z,5,0)</f>
        <v>🇸🇾</v>
      </c>
      <c r="U58" s="15" t="b">
        <f t="shared" si="0"/>
        <v>1</v>
      </c>
    </row>
    <row r="59" spans="1:21" ht="16" x14ac:dyDescent="0.2">
      <c r="A59" s="15">
        <v>58</v>
      </c>
      <c r="B59" s="15" t="s">
        <v>627</v>
      </c>
      <c r="C59" s="15" t="s">
        <v>602</v>
      </c>
      <c r="D59" s="16" t="s">
        <v>61</v>
      </c>
      <c r="E59" s="15" t="s">
        <v>543</v>
      </c>
      <c r="F59" s="18">
        <v>25198821</v>
      </c>
      <c r="G59" s="19">
        <v>2.9399999999999999E-2</v>
      </c>
      <c r="H59" s="20">
        <v>720226</v>
      </c>
      <c r="I59" s="15">
        <v>21</v>
      </c>
      <c r="J59" s="20">
        <v>1220190</v>
      </c>
      <c r="K59" s="15" t="s">
        <v>254</v>
      </c>
      <c r="L59" s="15">
        <v>5.42</v>
      </c>
      <c r="M59" s="15">
        <v>15.7</v>
      </c>
      <c r="N59" s="19">
        <v>0.44400000000000001</v>
      </c>
      <c r="O59" s="19">
        <v>3.0999999999999999E-3</v>
      </c>
      <c r="R59" s="15" t="str">
        <f>VLOOKUP(D59,Сountries!V:Z,2,0)</f>
        <v>Africa</v>
      </c>
      <c r="S59" s="15" t="str">
        <f>VLOOKUP(D59,Сountries!V:Z,3,0)</f>
        <v>Western Africa</v>
      </c>
      <c r="T59" s="15" t="str">
        <f>VLOOKUP(D59,Сountries!V:Z,5,0)</f>
        <v>🇲🇱</v>
      </c>
      <c r="U59" s="15" t="b">
        <f t="shared" si="0"/>
        <v>1</v>
      </c>
    </row>
    <row r="60" spans="1:21" ht="16" x14ac:dyDescent="0.2">
      <c r="A60" s="15">
        <v>59</v>
      </c>
      <c r="B60" s="15" t="s">
        <v>627</v>
      </c>
      <c r="C60" s="15" t="s">
        <v>602</v>
      </c>
      <c r="D60" s="16" t="s">
        <v>62</v>
      </c>
      <c r="E60" s="15" t="s">
        <v>559</v>
      </c>
      <c r="F60" s="18">
        <v>24074580</v>
      </c>
      <c r="G60" s="19">
        <v>2.23E-2</v>
      </c>
      <c r="H60" s="20">
        <v>525799</v>
      </c>
      <c r="I60" s="15">
        <v>88</v>
      </c>
      <c r="J60" s="20">
        <v>273600</v>
      </c>
      <c r="K60" s="15" t="s">
        <v>255</v>
      </c>
      <c r="L60" s="15">
        <v>4</v>
      </c>
      <c r="M60" s="15">
        <v>17.7</v>
      </c>
      <c r="N60" s="19">
        <v>0.33700000000000002</v>
      </c>
      <c r="O60" s="19">
        <v>2.8999999999999998E-3</v>
      </c>
      <c r="R60" s="15" t="str">
        <f>VLOOKUP(D60,Сountries!V:Z,2,0)</f>
        <v>Africa</v>
      </c>
      <c r="S60" s="15" t="str">
        <f>VLOOKUP(D60,Сountries!V:Z,3,0)</f>
        <v>Western Africa</v>
      </c>
      <c r="T60" s="15" t="str">
        <f>VLOOKUP(D60,Сountries!V:Z,5,0)</f>
        <v>🇧🇫</v>
      </c>
      <c r="U60" s="15" t="b">
        <f t="shared" si="0"/>
        <v>1</v>
      </c>
    </row>
    <row r="61" spans="1:21" ht="16" x14ac:dyDescent="0.2">
      <c r="A61" s="15">
        <v>60</v>
      </c>
      <c r="B61" s="15" t="s">
        <v>624</v>
      </c>
      <c r="C61" s="15" t="s">
        <v>607</v>
      </c>
      <c r="D61" s="16" t="s">
        <v>63</v>
      </c>
      <c r="E61" s="15" t="s">
        <v>560</v>
      </c>
      <c r="F61" s="18">
        <v>23229470</v>
      </c>
      <c r="G61" s="19">
        <v>5.4000000000000003E-3</v>
      </c>
      <c r="H61" s="20">
        <v>125905</v>
      </c>
      <c r="I61" s="15">
        <v>370</v>
      </c>
      <c r="J61" s="20">
        <v>62710</v>
      </c>
      <c r="K61" s="15" t="s">
        <v>256</v>
      </c>
      <c r="L61" s="15">
        <v>1.94</v>
      </c>
      <c r="M61" s="15">
        <v>33.299999999999997</v>
      </c>
      <c r="N61" s="19">
        <v>0.18099999999999999</v>
      </c>
      <c r="O61" s="19">
        <v>2.8E-3</v>
      </c>
      <c r="R61" s="15" t="str">
        <f>VLOOKUP(D61,Сountries!V:Z,2,0)</f>
        <v>Asia</v>
      </c>
      <c r="S61" s="15" t="str">
        <f>VLOOKUP(D61,Сountries!V:Z,3,0)</f>
        <v>Southern Asia</v>
      </c>
      <c r="T61" s="15" t="str">
        <f>VLOOKUP(D61,Сountries!V:Z,5,0)</f>
        <v>🇱🇰</v>
      </c>
      <c r="U61" s="15" t="b">
        <f t="shared" si="0"/>
        <v>1</v>
      </c>
    </row>
    <row r="62" spans="1:21" ht="16" x14ac:dyDescent="0.2">
      <c r="A62" s="15">
        <v>61</v>
      </c>
      <c r="B62" s="15" t="s">
        <v>624</v>
      </c>
      <c r="C62" s="15" t="s">
        <v>608</v>
      </c>
      <c r="D62" s="16" t="s">
        <v>257</v>
      </c>
      <c r="E62" s="15" t="s">
        <v>1329</v>
      </c>
      <c r="F62" s="18">
        <v>23112793</v>
      </c>
      <c r="G62" s="15" t="s">
        <v>258</v>
      </c>
      <c r="H62" s="15" t="s">
        <v>259</v>
      </c>
      <c r="I62" s="15">
        <v>653</v>
      </c>
      <c r="J62" s="20">
        <v>35410</v>
      </c>
      <c r="K62" s="15" t="s">
        <v>260</v>
      </c>
      <c r="L62" s="15">
        <v>0.86</v>
      </c>
      <c r="M62" s="15">
        <v>44.8</v>
      </c>
      <c r="N62" s="21">
        <v>0.84</v>
      </c>
      <c r="O62" s="19">
        <v>2.8E-3</v>
      </c>
      <c r="R62" s="15" t="str">
        <f>VLOOKUP(D62,Сountries!V:Z,2,0)</f>
        <v>Asia</v>
      </c>
      <c r="S62" s="15" t="str">
        <f>VLOOKUP(D62,Сountries!V:Z,3,0)</f>
        <v>Eastern Asia</v>
      </c>
      <c r="T62" s="15" t="str">
        <f>VLOOKUP(D62,Сountries!V:Z,5,0)</f>
        <v>🇹🇼</v>
      </c>
      <c r="U62" s="15" t="b">
        <f t="shared" si="0"/>
        <v>1</v>
      </c>
    </row>
    <row r="63" spans="1:21" ht="16" x14ac:dyDescent="0.2">
      <c r="A63" s="15">
        <v>62</v>
      </c>
      <c r="B63" s="15" t="s">
        <v>627</v>
      </c>
      <c r="C63" s="15" t="s">
        <v>603</v>
      </c>
      <c r="D63" s="16" t="s">
        <v>64</v>
      </c>
      <c r="E63" s="15" t="s">
        <v>541</v>
      </c>
      <c r="F63" s="18">
        <v>22216120</v>
      </c>
      <c r="G63" s="19">
        <v>2.5899999999999999E-2</v>
      </c>
      <c r="H63" s="20">
        <v>560834</v>
      </c>
      <c r="I63" s="15">
        <v>236</v>
      </c>
      <c r="J63" s="20">
        <v>94280</v>
      </c>
      <c r="K63" s="15" t="s">
        <v>261</v>
      </c>
      <c r="L63" s="15">
        <v>3.53</v>
      </c>
      <c r="M63" s="15">
        <v>18.100000000000001</v>
      </c>
      <c r="N63" s="19">
        <v>0.19800000000000001</v>
      </c>
      <c r="O63" s="19">
        <v>2.7000000000000001E-3</v>
      </c>
      <c r="R63" s="15" t="str">
        <f>VLOOKUP(D63,Сountries!V:Z,2,0)</f>
        <v>Africa</v>
      </c>
      <c r="S63" s="15" t="str">
        <f>VLOOKUP(D63,Сountries!V:Z,3,0)</f>
        <v>Eastern Africa</v>
      </c>
      <c r="T63" s="15" t="str">
        <f>VLOOKUP(D63,Сountries!V:Z,5,0)</f>
        <v>🇲🇼</v>
      </c>
      <c r="U63" s="15" t="b">
        <f t="shared" si="0"/>
        <v>1</v>
      </c>
    </row>
    <row r="64" spans="1:21" ht="16" x14ac:dyDescent="0.2">
      <c r="A64" s="15">
        <v>63</v>
      </c>
      <c r="B64" s="15" t="s">
        <v>627</v>
      </c>
      <c r="C64" s="15" t="s">
        <v>603</v>
      </c>
      <c r="D64" s="16" t="s">
        <v>65</v>
      </c>
      <c r="E64" s="15" t="s">
        <v>561</v>
      </c>
      <c r="F64" s="18">
        <v>21913874</v>
      </c>
      <c r="G64" s="19">
        <v>2.81E-2</v>
      </c>
      <c r="H64" s="20">
        <v>598918</v>
      </c>
      <c r="I64" s="15">
        <v>29</v>
      </c>
      <c r="J64" s="20">
        <v>743390</v>
      </c>
      <c r="K64" s="20">
        <v>6562</v>
      </c>
      <c r="L64" s="15">
        <v>3.97</v>
      </c>
      <c r="M64" s="15">
        <v>17.899999999999999</v>
      </c>
      <c r="N64" s="19">
        <v>0.46800000000000003</v>
      </c>
      <c r="O64" s="19">
        <v>2.7000000000000001E-3</v>
      </c>
      <c r="R64" s="15" t="str">
        <f>VLOOKUP(D64,Сountries!V:Z,2,0)</f>
        <v>Africa</v>
      </c>
      <c r="S64" s="15" t="str">
        <f>VLOOKUP(D64,Сountries!V:Z,3,0)</f>
        <v>Eastern Africa</v>
      </c>
      <c r="T64" s="15" t="str">
        <f>VLOOKUP(D64,Сountries!V:Z,5,0)</f>
        <v>🇿🇲</v>
      </c>
      <c r="U64" s="15" t="b">
        <f t="shared" si="0"/>
        <v>1</v>
      </c>
    </row>
    <row r="65" spans="1:21" ht="16" x14ac:dyDescent="0.2">
      <c r="A65" s="15">
        <v>64</v>
      </c>
      <c r="B65" s="15" t="s">
        <v>627</v>
      </c>
      <c r="C65" s="15" t="s">
        <v>605</v>
      </c>
      <c r="D65" s="16" t="s">
        <v>66</v>
      </c>
      <c r="E65" s="15" t="s">
        <v>562</v>
      </c>
      <c r="F65" s="18">
        <v>21003705</v>
      </c>
      <c r="G65" s="19">
        <v>3.4700000000000002E-2</v>
      </c>
      <c r="H65" s="20">
        <v>704582</v>
      </c>
      <c r="I65" s="15">
        <v>17</v>
      </c>
      <c r="J65" s="20">
        <v>1259200</v>
      </c>
      <c r="K65" s="15" t="s">
        <v>262</v>
      </c>
      <c r="L65" s="15">
        <v>5.94</v>
      </c>
      <c r="M65" s="15">
        <v>15.8</v>
      </c>
      <c r="N65" s="19">
        <v>0.224</v>
      </c>
      <c r="O65" s="19">
        <v>2.5999999999999999E-3</v>
      </c>
      <c r="R65" s="15" t="str">
        <f>VLOOKUP(D65,Сountries!V:Z,2,0)</f>
        <v>Africa</v>
      </c>
      <c r="S65" s="15" t="str">
        <f>VLOOKUP(D65,Сountries!V:Z,3,0)</f>
        <v>Middle Africa</v>
      </c>
      <c r="T65" s="15" t="str">
        <f>VLOOKUP(D65,Сountries!V:Z,5,0)</f>
        <v>🇹🇩</v>
      </c>
      <c r="U65" s="15" t="b">
        <f t="shared" si="0"/>
        <v>1</v>
      </c>
    </row>
    <row r="66" spans="1:21" ht="16" x14ac:dyDescent="0.2">
      <c r="A66" s="15">
        <v>65</v>
      </c>
      <c r="B66" s="15" t="s">
        <v>624</v>
      </c>
      <c r="C66" s="15" t="s">
        <v>611</v>
      </c>
      <c r="D66" s="16" t="s">
        <v>67</v>
      </c>
      <c r="E66" s="15" t="s">
        <v>563</v>
      </c>
      <c r="F66" s="18">
        <v>20843754</v>
      </c>
      <c r="G66" s="19">
        <v>1.2200000000000001E-2</v>
      </c>
      <c r="H66" s="20">
        <v>251183</v>
      </c>
      <c r="I66" s="15">
        <v>8</v>
      </c>
      <c r="J66" s="20">
        <v>2699700</v>
      </c>
      <c r="K66" s="15" t="s">
        <v>263</v>
      </c>
      <c r="L66" s="15">
        <v>2.95</v>
      </c>
      <c r="M66" s="15">
        <v>29.7</v>
      </c>
      <c r="N66" s="19">
        <v>0.55100000000000005</v>
      </c>
      <c r="O66" s="19">
        <v>2.5000000000000001E-3</v>
      </c>
      <c r="R66" s="15" t="str">
        <f>VLOOKUP(D66,Сountries!V:Z,2,0)</f>
        <v>Asia</v>
      </c>
      <c r="S66" s="15" t="str">
        <f>VLOOKUP(D66,Сountries!V:Z,3,0)</f>
        <v>Central Asia</v>
      </c>
      <c r="T66" s="15" t="str">
        <f>VLOOKUP(D66,Сountries!V:Z,5,0)</f>
        <v>🇰🇿</v>
      </c>
      <c r="U66" s="15" t="b">
        <f t="shared" si="0"/>
        <v>1</v>
      </c>
    </row>
    <row r="67" spans="1:21" ht="16" x14ac:dyDescent="0.2">
      <c r="A67" s="15">
        <v>66</v>
      </c>
      <c r="B67" s="15" t="s">
        <v>625</v>
      </c>
      <c r="C67" s="15" t="s">
        <v>617</v>
      </c>
      <c r="D67" s="16" t="s">
        <v>68</v>
      </c>
      <c r="E67" s="15" t="s">
        <v>564</v>
      </c>
      <c r="F67" s="18">
        <v>19859921</v>
      </c>
      <c r="G67" s="19">
        <v>4.7999999999999996E-3</v>
      </c>
      <c r="H67" s="20">
        <v>95150</v>
      </c>
      <c r="I67" s="15">
        <v>27</v>
      </c>
      <c r="J67" s="20">
        <v>743532</v>
      </c>
      <c r="K67" s="20">
        <v>51712</v>
      </c>
      <c r="L67" s="15">
        <v>1.1299999999999999</v>
      </c>
      <c r="M67" s="15">
        <v>36.9</v>
      </c>
      <c r="N67" s="19">
        <v>0.84799999999999998</v>
      </c>
      <c r="O67" s="19">
        <v>2.3999999999999998E-3</v>
      </c>
      <c r="R67" s="15" t="str">
        <f>VLOOKUP(D67,Сountries!V:Z,2,0)</f>
        <v>America</v>
      </c>
      <c r="S67" s="15" t="str">
        <f>VLOOKUP(D67,Сountries!V:Z,3,0)</f>
        <v>South America</v>
      </c>
      <c r="T67" s="15" t="str">
        <f>VLOOKUP(D67,Сountries!V:Z,5,0)</f>
        <v>🇨🇱</v>
      </c>
      <c r="U67" s="15" t="b">
        <f t="shared" ref="U67:U130" si="1">E67=T67</f>
        <v>1</v>
      </c>
    </row>
    <row r="68" spans="1:21" ht="16" x14ac:dyDescent="0.2">
      <c r="A68" s="15">
        <v>67</v>
      </c>
      <c r="B68" s="15" t="s">
        <v>627</v>
      </c>
      <c r="C68" s="15" t="s">
        <v>603</v>
      </c>
      <c r="D68" s="16" t="s">
        <v>69</v>
      </c>
      <c r="E68" s="15" t="s">
        <v>565</v>
      </c>
      <c r="F68" s="18">
        <v>19654739</v>
      </c>
      <c r="G68" s="19">
        <v>3.4000000000000002E-2</v>
      </c>
      <c r="H68" s="20">
        <v>645588</v>
      </c>
      <c r="I68" s="15">
        <v>31</v>
      </c>
      <c r="J68" s="20">
        <v>627340</v>
      </c>
      <c r="K68" s="20">
        <v>12077</v>
      </c>
      <c r="L68" s="15">
        <v>5.91</v>
      </c>
      <c r="M68" s="15">
        <v>15.6</v>
      </c>
      <c r="N68" s="19">
        <v>0.46600000000000003</v>
      </c>
      <c r="O68" s="19">
        <v>2.3999999999999998E-3</v>
      </c>
      <c r="R68" s="15" t="str">
        <f>VLOOKUP(D68,Сountries!V:Z,2,0)</f>
        <v>Africa</v>
      </c>
      <c r="S68" s="15" t="str">
        <f>VLOOKUP(D68,Сountries!V:Z,3,0)</f>
        <v>Eastern Africa</v>
      </c>
      <c r="T68" s="15" t="str">
        <f>VLOOKUP(D68,Сountries!V:Z,5,0)</f>
        <v>🇸🇴</v>
      </c>
      <c r="U68" s="15" t="b">
        <f t="shared" si="1"/>
        <v>1</v>
      </c>
    </row>
    <row r="69" spans="1:21" ht="16" x14ac:dyDescent="0.2">
      <c r="A69" s="15">
        <v>68</v>
      </c>
      <c r="B69" s="15" t="s">
        <v>627</v>
      </c>
      <c r="C69" s="15" t="s">
        <v>602</v>
      </c>
      <c r="D69" s="16" t="s">
        <v>70</v>
      </c>
      <c r="E69" s="15" t="s">
        <v>566</v>
      </c>
      <c r="F69" s="18">
        <v>18931966</v>
      </c>
      <c r="G69" s="19">
        <v>2.3199999999999998E-2</v>
      </c>
      <c r="H69" s="20">
        <v>429982</v>
      </c>
      <c r="I69" s="15">
        <v>98</v>
      </c>
      <c r="J69" s="20">
        <v>192530</v>
      </c>
      <c r="K69" s="15" t="s">
        <v>264</v>
      </c>
      <c r="L69" s="15">
        <v>3.71</v>
      </c>
      <c r="M69" s="15">
        <v>19.600000000000001</v>
      </c>
      <c r="N69" s="19">
        <v>0.52300000000000002</v>
      </c>
      <c r="O69" s="19">
        <v>2.3E-3</v>
      </c>
      <c r="R69" s="15" t="str">
        <f>VLOOKUP(D69,Сountries!V:Z,2,0)</f>
        <v>Africa</v>
      </c>
      <c r="S69" s="15" t="str">
        <f>VLOOKUP(D69,Сountries!V:Z,3,0)</f>
        <v>Western Africa</v>
      </c>
      <c r="T69" s="15" t="str">
        <f>VLOOKUP(D69,Сountries!V:Z,5,0)</f>
        <v>🇸🇳</v>
      </c>
      <c r="U69" s="15" t="b">
        <f t="shared" si="1"/>
        <v>1</v>
      </c>
    </row>
    <row r="70" spans="1:21" ht="16" x14ac:dyDescent="0.2">
      <c r="A70" s="15">
        <v>69</v>
      </c>
      <c r="B70" s="15" t="s">
        <v>626</v>
      </c>
      <c r="C70" s="15" t="s">
        <v>613</v>
      </c>
      <c r="D70" s="16" t="s">
        <v>71</v>
      </c>
      <c r="E70" s="15" t="s">
        <v>567</v>
      </c>
      <c r="F70" s="18">
        <v>18908650</v>
      </c>
      <c r="G70" s="15" t="s">
        <v>219</v>
      </c>
      <c r="H70" s="15" t="s">
        <v>265</v>
      </c>
      <c r="I70" s="15">
        <v>82</v>
      </c>
      <c r="J70" s="20">
        <v>230170</v>
      </c>
      <c r="K70" s="15" t="s">
        <v>266</v>
      </c>
      <c r="L70" s="15">
        <v>1.71</v>
      </c>
      <c r="M70" s="15">
        <v>43.2</v>
      </c>
      <c r="N70" s="19">
        <v>0.55200000000000005</v>
      </c>
      <c r="O70" s="19">
        <v>2.3E-3</v>
      </c>
      <c r="R70" s="15" t="str">
        <f>VLOOKUP(D70,Сountries!V:Z,2,0)</f>
        <v>Europe</v>
      </c>
      <c r="S70" s="15" t="str">
        <f>VLOOKUP(D70,Сountries!V:Z,3,0)</f>
        <v>Eastern Europe</v>
      </c>
      <c r="T70" s="15" t="str">
        <f>VLOOKUP(D70,Сountries!V:Z,5,0)</f>
        <v>🇷🇴</v>
      </c>
      <c r="U70" s="15" t="b">
        <f t="shared" si="1"/>
        <v>1</v>
      </c>
    </row>
    <row r="71" spans="1:21" ht="16" x14ac:dyDescent="0.2">
      <c r="A71" s="15">
        <v>70</v>
      </c>
      <c r="B71" s="15" t="s">
        <v>625</v>
      </c>
      <c r="C71" s="15" t="s">
        <v>618</v>
      </c>
      <c r="D71" s="16" t="s">
        <v>72</v>
      </c>
      <c r="E71" s="15" t="s">
        <v>568</v>
      </c>
      <c r="F71" s="18">
        <v>18687881</v>
      </c>
      <c r="G71" s="19">
        <v>1.5299999999999999E-2</v>
      </c>
      <c r="H71" s="20">
        <v>281522</v>
      </c>
      <c r="I71" s="15">
        <v>174</v>
      </c>
      <c r="J71" s="20">
        <v>107160</v>
      </c>
      <c r="K71" s="15" t="s">
        <v>267</v>
      </c>
      <c r="L71" s="15">
        <v>2.2599999999999998</v>
      </c>
      <c r="M71" s="15">
        <v>23.4</v>
      </c>
      <c r="N71" s="19">
        <v>0.56599999999999995</v>
      </c>
      <c r="O71" s="19">
        <v>2.3E-3</v>
      </c>
      <c r="R71" s="15" t="str">
        <f>VLOOKUP(D71,Сountries!V:Z,2,0)</f>
        <v>America</v>
      </c>
      <c r="S71" s="15" t="str">
        <f>VLOOKUP(D71,Сountries!V:Z,3,0)</f>
        <v>Central America</v>
      </c>
      <c r="T71" s="15" t="str">
        <f>VLOOKUP(D71,Сountries!V:Z,5,0)</f>
        <v>🇬🇹</v>
      </c>
      <c r="U71" s="15" t="b">
        <f t="shared" si="1"/>
        <v>1</v>
      </c>
    </row>
    <row r="72" spans="1:21" ht="16" x14ac:dyDescent="0.2">
      <c r="A72" s="15">
        <v>71</v>
      </c>
      <c r="B72" s="15" t="s">
        <v>626</v>
      </c>
      <c r="C72" s="15" t="s">
        <v>614</v>
      </c>
      <c r="D72" s="16" t="s">
        <v>73</v>
      </c>
      <c r="E72" s="15" t="s">
        <v>569</v>
      </c>
      <c r="F72" s="18">
        <v>18346819</v>
      </c>
      <c r="G72" s="19">
        <v>6.4999999999999997E-3</v>
      </c>
      <c r="H72" s="20">
        <v>118077</v>
      </c>
      <c r="I72" s="15">
        <v>544</v>
      </c>
      <c r="J72" s="20">
        <v>33720</v>
      </c>
      <c r="K72" s="20">
        <v>104681</v>
      </c>
      <c r="L72" s="15">
        <v>1.44</v>
      </c>
      <c r="M72" s="15">
        <v>41.5</v>
      </c>
      <c r="N72" s="19">
        <v>0.88900000000000001</v>
      </c>
      <c r="O72" s="19">
        <v>2.2000000000000001E-3</v>
      </c>
      <c r="R72" s="15" t="str">
        <f>VLOOKUP(D72,Сountries!V:Z,2,0)</f>
        <v>Europe</v>
      </c>
      <c r="S72" s="15" t="str">
        <f>VLOOKUP(D72,Сountries!V:Z,3,0)</f>
        <v>Western Europe</v>
      </c>
      <c r="T72" s="15" t="str">
        <f>VLOOKUP(D72,Сountries!V:Z,5,0)</f>
        <v>🇳🇱</v>
      </c>
      <c r="U72" s="15" t="b">
        <f t="shared" si="1"/>
        <v>1</v>
      </c>
    </row>
    <row r="73" spans="1:21" ht="16" x14ac:dyDescent="0.2">
      <c r="A73" s="15">
        <v>72</v>
      </c>
      <c r="B73" s="15" t="s">
        <v>625</v>
      </c>
      <c r="C73" s="15" t="s">
        <v>617</v>
      </c>
      <c r="D73" s="16" t="s">
        <v>74</v>
      </c>
      <c r="E73" s="15" t="s">
        <v>570</v>
      </c>
      <c r="F73" s="18">
        <v>18289896</v>
      </c>
      <c r="G73" s="19">
        <v>8.5000000000000006E-3</v>
      </c>
      <c r="H73" s="20">
        <v>154418</v>
      </c>
      <c r="I73" s="15">
        <v>74</v>
      </c>
      <c r="J73" s="20">
        <v>248360</v>
      </c>
      <c r="K73" s="15" t="s">
        <v>268</v>
      </c>
      <c r="L73" s="15">
        <v>1.79</v>
      </c>
      <c r="M73" s="15">
        <v>29.3</v>
      </c>
      <c r="N73" s="21">
        <v>0.66</v>
      </c>
      <c r="O73" s="19">
        <v>2.2000000000000001E-3</v>
      </c>
      <c r="R73" s="15" t="str">
        <f>VLOOKUP(D73,Сountries!V:Z,2,0)</f>
        <v>America</v>
      </c>
      <c r="S73" s="15" t="str">
        <f>VLOOKUP(D73,Сountries!V:Z,3,0)</f>
        <v>South America</v>
      </c>
      <c r="T73" s="15" t="str">
        <f>VLOOKUP(D73,Сountries!V:Z,5,0)</f>
        <v>🇪🇨</v>
      </c>
      <c r="U73" s="15" t="b">
        <f t="shared" si="1"/>
        <v>1</v>
      </c>
    </row>
    <row r="74" spans="1:21" ht="16" x14ac:dyDescent="0.2">
      <c r="A74" s="15">
        <v>73</v>
      </c>
      <c r="B74" s="15" t="s">
        <v>624</v>
      </c>
      <c r="C74" s="15" t="s">
        <v>609</v>
      </c>
      <c r="D74" s="16" t="s">
        <v>75</v>
      </c>
      <c r="E74" s="15" t="s">
        <v>571</v>
      </c>
      <c r="F74" s="18">
        <v>17847982</v>
      </c>
      <c r="G74" s="19">
        <v>1.1900000000000001E-2</v>
      </c>
      <c r="H74" s="20">
        <v>209181</v>
      </c>
      <c r="I74" s="15">
        <v>101</v>
      </c>
      <c r="J74" s="20">
        <v>176520</v>
      </c>
      <c r="K74" s="15" t="s">
        <v>269</v>
      </c>
      <c r="L74" s="15">
        <v>2.5099999999999998</v>
      </c>
      <c r="M74" s="15">
        <v>26.2</v>
      </c>
      <c r="N74" s="19">
        <v>0.26500000000000001</v>
      </c>
      <c r="O74" s="19">
        <v>2.2000000000000001E-3</v>
      </c>
      <c r="R74" s="15" t="str">
        <f>VLOOKUP(D74,Сountries!V:Z,2,0)</f>
        <v>Asia</v>
      </c>
      <c r="S74" s="15" t="str">
        <f>VLOOKUP(D74,Сountries!V:Z,3,0)</f>
        <v>South-Eastern Asia</v>
      </c>
      <c r="T74" s="15" t="str">
        <f>VLOOKUP(D74,Сountries!V:Z,5,0)</f>
        <v>🇰🇭</v>
      </c>
      <c r="U74" s="15" t="b">
        <f t="shared" si="1"/>
        <v>1</v>
      </c>
    </row>
    <row r="75" spans="1:21" ht="16" x14ac:dyDescent="0.2">
      <c r="A75" s="15">
        <v>74</v>
      </c>
      <c r="B75" s="15" t="s">
        <v>627</v>
      </c>
      <c r="C75" s="15" t="s">
        <v>603</v>
      </c>
      <c r="D75" s="16" t="s">
        <v>76</v>
      </c>
      <c r="E75" s="15" t="s">
        <v>572</v>
      </c>
      <c r="F75" s="18">
        <v>16950795</v>
      </c>
      <c r="G75" s="19">
        <v>1.9E-2</v>
      </c>
      <c r="H75" s="20">
        <v>316422</v>
      </c>
      <c r="I75" s="15">
        <v>44</v>
      </c>
      <c r="J75" s="20">
        <v>386850</v>
      </c>
      <c r="K75" s="15" t="s">
        <v>270</v>
      </c>
      <c r="L75" s="15">
        <v>3.62</v>
      </c>
      <c r="M75" s="15">
        <v>18.100000000000001</v>
      </c>
      <c r="N75" s="19">
        <v>0.379</v>
      </c>
      <c r="O75" s="19">
        <v>2.0999999999999999E-3</v>
      </c>
      <c r="R75" s="15" t="str">
        <f>VLOOKUP(D75,Сountries!V:Z,2,0)</f>
        <v>Africa</v>
      </c>
      <c r="S75" s="15" t="str">
        <f>VLOOKUP(D75,Сountries!V:Z,3,0)</f>
        <v>Eastern Africa</v>
      </c>
      <c r="T75" s="15" t="str">
        <f>VLOOKUP(D75,Сountries!V:Z,5,0)</f>
        <v>🇿🇼</v>
      </c>
      <c r="U75" s="15" t="b">
        <f t="shared" si="1"/>
        <v>1</v>
      </c>
    </row>
    <row r="76" spans="1:21" ht="16" x14ac:dyDescent="0.2">
      <c r="A76" s="15">
        <v>75</v>
      </c>
      <c r="B76" s="15" t="s">
        <v>627</v>
      </c>
      <c r="C76" s="15" t="s">
        <v>602</v>
      </c>
      <c r="D76" s="16" t="s">
        <v>77</v>
      </c>
      <c r="E76" s="15" t="s">
        <v>573</v>
      </c>
      <c r="F76" s="18">
        <v>15099727</v>
      </c>
      <c r="G76" s="19">
        <v>2.3400000000000001E-2</v>
      </c>
      <c r="H76" s="20">
        <v>344942</v>
      </c>
      <c r="I76" s="15">
        <v>61</v>
      </c>
      <c r="J76" s="20">
        <v>245720</v>
      </c>
      <c r="K76" s="15" t="s">
        <v>271</v>
      </c>
      <c r="L76" s="15">
        <v>4.04</v>
      </c>
      <c r="M76" s="15">
        <v>18.3</v>
      </c>
      <c r="N76" s="19">
        <v>0.40300000000000002</v>
      </c>
      <c r="O76" s="19">
        <v>1.8E-3</v>
      </c>
      <c r="R76" s="15" t="str">
        <f>VLOOKUP(D76,Сountries!V:Z,2,0)</f>
        <v>Africa</v>
      </c>
      <c r="S76" s="15" t="str">
        <f>VLOOKUP(D76,Сountries!V:Z,3,0)</f>
        <v>Western Africa</v>
      </c>
      <c r="T76" s="15" t="str">
        <f>VLOOKUP(D76,Сountries!V:Z,5,0)</f>
        <v>🇬🇫</v>
      </c>
      <c r="U76" s="15" t="b">
        <f t="shared" si="1"/>
        <v>1</v>
      </c>
    </row>
    <row r="77" spans="1:21" ht="16" x14ac:dyDescent="0.2">
      <c r="A77" s="15">
        <v>76</v>
      </c>
      <c r="B77" s="15" t="s">
        <v>627</v>
      </c>
      <c r="C77" s="15" t="s">
        <v>602</v>
      </c>
      <c r="D77" s="16" t="s">
        <v>78</v>
      </c>
      <c r="E77" s="15" t="s">
        <v>574</v>
      </c>
      <c r="F77" s="18">
        <v>14814460</v>
      </c>
      <c r="G77" s="19">
        <v>2.4299999999999999E-2</v>
      </c>
      <c r="H77" s="20">
        <v>351736</v>
      </c>
      <c r="I77" s="15">
        <v>131</v>
      </c>
      <c r="J77" s="20">
        <v>112760</v>
      </c>
      <c r="K77" s="15" t="s">
        <v>272</v>
      </c>
      <c r="L77" s="15">
        <v>4.42</v>
      </c>
      <c r="M77" s="15">
        <v>18</v>
      </c>
      <c r="N77" s="19">
        <v>0.47799999999999998</v>
      </c>
      <c r="O77" s="19">
        <v>1.8E-3</v>
      </c>
      <c r="R77" s="15" t="str">
        <f>VLOOKUP(D77,Сountries!V:Z,2,0)</f>
        <v>Africa</v>
      </c>
      <c r="S77" s="15" t="str">
        <f>VLOOKUP(D77,Сountries!V:Z,3,0)</f>
        <v>Western Africa</v>
      </c>
      <c r="T77" s="15" t="str">
        <f>VLOOKUP(D77,Сountries!V:Z,5,0)</f>
        <v>🇧🇯</v>
      </c>
      <c r="U77" s="15" t="b">
        <f t="shared" si="1"/>
        <v>1</v>
      </c>
    </row>
    <row r="78" spans="1:21" ht="16" x14ac:dyDescent="0.2">
      <c r="A78" s="15">
        <v>77</v>
      </c>
      <c r="B78" s="15" t="s">
        <v>627</v>
      </c>
      <c r="C78" s="15" t="s">
        <v>603</v>
      </c>
      <c r="D78" s="16" t="s">
        <v>79</v>
      </c>
      <c r="E78" s="15" t="s">
        <v>575</v>
      </c>
      <c r="F78" s="18">
        <v>14569341</v>
      </c>
      <c r="G78" s="19">
        <v>2.1899999999999999E-2</v>
      </c>
      <c r="H78" s="20">
        <v>312774</v>
      </c>
      <c r="I78" s="15">
        <v>591</v>
      </c>
      <c r="J78" s="20">
        <v>24670</v>
      </c>
      <c r="K78" s="20">
        <v>6282</v>
      </c>
      <c r="L78" s="15">
        <v>3.59</v>
      </c>
      <c r="M78" s="15">
        <v>19.899999999999999</v>
      </c>
      <c r="N78" s="19">
        <v>0.183</v>
      </c>
      <c r="O78" s="19">
        <v>1.8E-3</v>
      </c>
      <c r="R78" s="15" t="str">
        <f>VLOOKUP(D78,Сountries!V:Z,2,0)</f>
        <v>Africa</v>
      </c>
      <c r="S78" s="15" t="str">
        <f>VLOOKUP(D78,Сountries!V:Z,3,0)</f>
        <v>Eastern Africa</v>
      </c>
      <c r="T78" s="15" t="str">
        <f>VLOOKUP(D78,Сountries!V:Z,5,0)</f>
        <v>🇷🇼</v>
      </c>
      <c r="U78" s="15" t="b">
        <f t="shared" si="1"/>
        <v>1</v>
      </c>
    </row>
    <row r="79" spans="1:21" ht="16" x14ac:dyDescent="0.2">
      <c r="A79" s="15">
        <v>78</v>
      </c>
      <c r="B79" s="15" t="s">
        <v>627</v>
      </c>
      <c r="C79" s="15" t="s">
        <v>603</v>
      </c>
      <c r="D79" s="16" t="s">
        <v>80</v>
      </c>
      <c r="E79" s="15" t="s">
        <v>576</v>
      </c>
      <c r="F79" s="18">
        <v>14390003</v>
      </c>
      <c r="G79" s="19">
        <v>2.4400000000000002E-2</v>
      </c>
      <c r="H79" s="20">
        <v>342217</v>
      </c>
      <c r="I79" s="15">
        <v>560</v>
      </c>
      <c r="J79" s="20">
        <v>25680</v>
      </c>
      <c r="K79" s="15" t="s">
        <v>273</v>
      </c>
      <c r="L79" s="15">
        <v>4.67</v>
      </c>
      <c r="M79" s="15">
        <v>16.399999999999999</v>
      </c>
      <c r="N79" s="19">
        <v>0.14899999999999999</v>
      </c>
      <c r="O79" s="19">
        <v>1.6999999999999999E-3</v>
      </c>
      <c r="R79" s="15" t="str">
        <f>VLOOKUP(D79,Сountries!V:Z,2,0)</f>
        <v>Africa</v>
      </c>
      <c r="S79" s="15" t="str">
        <f>VLOOKUP(D79,Сountries!V:Z,3,0)</f>
        <v>Eastern Africa</v>
      </c>
      <c r="T79" s="15" t="str">
        <f>VLOOKUP(D79,Сountries!V:Z,5,0)</f>
        <v>🇧🇮</v>
      </c>
      <c r="U79" s="15" t="b">
        <f t="shared" si="1"/>
        <v>1</v>
      </c>
    </row>
    <row r="80" spans="1:21" ht="16" x14ac:dyDescent="0.2">
      <c r="A80" s="15">
        <v>79</v>
      </c>
      <c r="B80" s="15" t="s">
        <v>625</v>
      </c>
      <c r="C80" s="15" t="s">
        <v>617</v>
      </c>
      <c r="D80" s="16" t="s">
        <v>81</v>
      </c>
      <c r="E80" s="15" t="s">
        <v>577</v>
      </c>
      <c r="F80" s="18">
        <v>12581843</v>
      </c>
      <c r="G80" s="19">
        <v>1.3599999999999999E-2</v>
      </c>
      <c r="H80" s="20">
        <v>168528</v>
      </c>
      <c r="I80" s="15">
        <v>12</v>
      </c>
      <c r="J80" s="20">
        <v>1083300</v>
      </c>
      <c r="K80" s="15" t="s">
        <v>274</v>
      </c>
      <c r="L80" s="15">
        <v>2.5</v>
      </c>
      <c r="M80" s="15">
        <v>25.2</v>
      </c>
      <c r="N80" s="19">
        <v>0.70599999999999996</v>
      </c>
      <c r="O80" s="19">
        <v>1.5E-3</v>
      </c>
      <c r="R80" s="15" t="str">
        <f>VLOOKUP(D80,Сountries!V:Z,2,0)</f>
        <v>America</v>
      </c>
      <c r="S80" s="15" t="str">
        <f>VLOOKUP(D80,Сountries!V:Z,3,0)</f>
        <v>South America</v>
      </c>
      <c r="T80" s="15" t="str">
        <f>VLOOKUP(D80,Сountries!V:Z,5,0)</f>
        <v>🇧🇴</v>
      </c>
      <c r="U80" s="15" t="b">
        <f t="shared" si="1"/>
        <v>1</v>
      </c>
    </row>
    <row r="81" spans="1:21" ht="16" x14ac:dyDescent="0.2">
      <c r="A81" s="15">
        <v>80</v>
      </c>
      <c r="B81" s="15" t="s">
        <v>627</v>
      </c>
      <c r="C81" s="15" t="s">
        <v>604</v>
      </c>
      <c r="D81" s="16" t="s">
        <v>82</v>
      </c>
      <c r="E81" s="15" t="s">
        <v>578</v>
      </c>
      <c r="F81" s="18">
        <v>12348573</v>
      </c>
      <c r="G81" s="19">
        <v>5.7999999999999996E-3</v>
      </c>
      <c r="H81" s="20">
        <v>71464</v>
      </c>
      <c r="I81" s="15">
        <v>79</v>
      </c>
      <c r="J81" s="20">
        <v>155360</v>
      </c>
      <c r="K81" s="15" t="s">
        <v>275</v>
      </c>
      <c r="L81" s="15">
        <v>1.8</v>
      </c>
      <c r="M81" s="15">
        <v>32.9</v>
      </c>
      <c r="N81" s="19">
        <v>0.71699999999999997</v>
      </c>
      <c r="O81" s="19">
        <v>1.5E-3</v>
      </c>
      <c r="R81" s="15" t="str">
        <f>VLOOKUP(D81,Сountries!V:Z,2,0)</f>
        <v>Africa</v>
      </c>
      <c r="S81" s="15" t="str">
        <f>VLOOKUP(D81,Сountries!V:Z,3,0)</f>
        <v>Northern Africa</v>
      </c>
      <c r="T81" s="15" t="str">
        <f>VLOOKUP(D81,Сountries!V:Z,5,0)</f>
        <v>🇹🇳</v>
      </c>
      <c r="U81" s="15" t="b">
        <f t="shared" si="1"/>
        <v>1</v>
      </c>
    </row>
    <row r="82" spans="1:21" ht="16" x14ac:dyDescent="0.2">
      <c r="A82" s="15">
        <v>81</v>
      </c>
      <c r="B82" s="15" t="s">
        <v>627</v>
      </c>
      <c r="C82" s="15" t="s">
        <v>603</v>
      </c>
      <c r="D82" s="16" t="s">
        <v>83</v>
      </c>
      <c r="E82" s="15" t="s">
        <v>579</v>
      </c>
      <c r="F82" s="18">
        <v>12188788</v>
      </c>
      <c r="G82" s="19">
        <v>2.0500000000000001E-2</v>
      </c>
      <c r="H82" s="20">
        <v>245380</v>
      </c>
      <c r="I82" s="15">
        <v>20</v>
      </c>
      <c r="J82" s="20">
        <v>610952</v>
      </c>
      <c r="K82" s="20">
        <v>6145</v>
      </c>
      <c r="L82" s="15">
        <v>3.71</v>
      </c>
      <c r="M82" s="15">
        <v>18.7</v>
      </c>
      <c r="N82" s="19">
        <v>0.27700000000000002</v>
      </c>
      <c r="O82" s="19">
        <v>1.5E-3</v>
      </c>
      <c r="R82" s="15" t="str">
        <f>VLOOKUP(D82,Сountries!V:Z,2,0)</f>
        <v>Africa</v>
      </c>
      <c r="S82" s="15" t="str">
        <f>VLOOKUP(D82,Сountries!V:Z,3,0)</f>
        <v>Eastern Africa</v>
      </c>
      <c r="T82" s="15" t="str">
        <f>VLOOKUP(D82,Сountries!V:Z,5,0)</f>
        <v>🇸🇸</v>
      </c>
      <c r="U82" s="15" t="b">
        <f t="shared" si="1"/>
        <v>1</v>
      </c>
    </row>
    <row r="83" spans="1:21" ht="16" x14ac:dyDescent="0.2">
      <c r="A83" s="15">
        <v>82</v>
      </c>
      <c r="B83" s="15" t="s">
        <v>628</v>
      </c>
      <c r="C83" s="15" t="s">
        <v>619</v>
      </c>
      <c r="D83" s="16" t="s">
        <v>84</v>
      </c>
      <c r="E83" s="15" t="s">
        <v>580</v>
      </c>
      <c r="F83" s="18">
        <v>11906095</v>
      </c>
      <c r="G83" s="19">
        <v>1.1299999999999999E-2</v>
      </c>
      <c r="H83" s="20">
        <v>133538</v>
      </c>
      <c r="I83" s="15">
        <v>432</v>
      </c>
      <c r="J83" s="20">
        <v>27560</v>
      </c>
      <c r="K83" s="15" t="s">
        <v>276</v>
      </c>
      <c r="L83" s="15">
        <v>2.59</v>
      </c>
      <c r="M83" s="15">
        <v>24.1</v>
      </c>
      <c r="N83" s="19">
        <v>0.61699999999999999</v>
      </c>
      <c r="O83" s="19">
        <v>1.4E-3</v>
      </c>
      <c r="R83" s="15" t="str">
        <f>VLOOKUP(D83,Сountries!V:Z,2,0)</f>
        <v>Oceania</v>
      </c>
      <c r="S83" s="15" t="str">
        <f>VLOOKUP(D83,Сountries!V:Z,3,0)</f>
        <v>Caribbean</v>
      </c>
      <c r="T83" s="15" t="str">
        <f>VLOOKUP(D83,Сountries!V:Z,5,0)</f>
        <v>🇭🇹</v>
      </c>
      <c r="U83" s="15" t="b">
        <f t="shared" si="1"/>
        <v>1</v>
      </c>
    </row>
    <row r="84" spans="1:21" ht="16" x14ac:dyDescent="0.2">
      <c r="A84" s="15">
        <v>83</v>
      </c>
      <c r="B84" s="15" t="s">
        <v>626</v>
      </c>
      <c r="C84" s="15" t="s">
        <v>614</v>
      </c>
      <c r="D84" s="16" t="s">
        <v>85</v>
      </c>
      <c r="E84" s="15" t="s">
        <v>581</v>
      </c>
      <c r="F84" s="18">
        <v>11758603</v>
      </c>
      <c r="G84" s="19">
        <v>1.6999999999999999E-3</v>
      </c>
      <c r="H84" s="20">
        <v>19840</v>
      </c>
      <c r="I84" s="15">
        <v>388</v>
      </c>
      <c r="J84" s="20">
        <v>30280</v>
      </c>
      <c r="K84" s="20">
        <v>31989</v>
      </c>
      <c r="L84" s="15">
        <v>1.39</v>
      </c>
      <c r="M84" s="15">
        <v>41.9</v>
      </c>
      <c r="N84" s="19">
        <v>0.98799999999999999</v>
      </c>
      <c r="O84" s="19">
        <v>1.4E-3</v>
      </c>
      <c r="R84" s="15" t="str">
        <f>VLOOKUP(D84,Сountries!V:Z,2,0)</f>
        <v>Europe</v>
      </c>
      <c r="S84" s="15" t="str">
        <f>VLOOKUP(D84,Сountries!V:Z,3,0)</f>
        <v>Western Europe</v>
      </c>
      <c r="T84" s="15" t="str">
        <f>VLOOKUP(D84,Сountries!V:Z,5,0)</f>
        <v>🇧🇪</v>
      </c>
      <c r="U84" s="15" t="b">
        <f t="shared" si="1"/>
        <v>1</v>
      </c>
    </row>
    <row r="85" spans="1:21" ht="16" x14ac:dyDescent="0.2">
      <c r="A85" s="15">
        <v>84</v>
      </c>
      <c r="B85" s="15" t="s">
        <v>624</v>
      </c>
      <c r="C85" s="15" t="s">
        <v>610</v>
      </c>
      <c r="D85" s="16" t="s">
        <v>86</v>
      </c>
      <c r="E85" s="15" t="s">
        <v>582</v>
      </c>
      <c r="F85" s="18">
        <v>11520684</v>
      </c>
      <c r="G85" s="15" t="s">
        <v>277</v>
      </c>
      <c r="H85" s="15" t="s">
        <v>278</v>
      </c>
      <c r="I85" s="15">
        <v>130</v>
      </c>
      <c r="J85" s="20">
        <v>88780</v>
      </c>
      <c r="K85" s="15" t="s">
        <v>279</v>
      </c>
      <c r="L85" s="15">
        <v>2.57</v>
      </c>
      <c r="M85" s="15">
        <v>24.7</v>
      </c>
      <c r="N85" s="19">
        <v>0.85099999999999998</v>
      </c>
      <c r="O85" s="19">
        <v>1.4E-3</v>
      </c>
      <c r="R85" s="15" t="str">
        <f>VLOOKUP(D85,Сountries!V:Z,2,0)</f>
        <v>Asia</v>
      </c>
      <c r="S85" s="15" t="str">
        <f>VLOOKUP(D85,Сountries!V:Z,3,0)</f>
        <v>Western Asia</v>
      </c>
      <c r="T85" s="15" t="str">
        <f>VLOOKUP(D85,Сountries!V:Z,5,0)</f>
        <v>🇯🇴</v>
      </c>
      <c r="U85" s="15" t="b">
        <f t="shared" si="1"/>
        <v>1</v>
      </c>
    </row>
    <row r="86" spans="1:21" ht="16" x14ac:dyDescent="0.2">
      <c r="A86" s="15">
        <v>85</v>
      </c>
      <c r="B86" s="15" t="s">
        <v>628</v>
      </c>
      <c r="C86" s="15" t="s">
        <v>619</v>
      </c>
      <c r="D86" s="16" t="s">
        <v>87</v>
      </c>
      <c r="E86" s="15" t="s">
        <v>583</v>
      </c>
      <c r="F86" s="18">
        <v>11520487</v>
      </c>
      <c r="G86" s="19">
        <v>8.0999999999999996E-3</v>
      </c>
      <c r="H86" s="20">
        <v>92930</v>
      </c>
      <c r="I86" s="15">
        <v>238</v>
      </c>
      <c r="J86" s="20">
        <v>48320</v>
      </c>
      <c r="K86" s="15" t="s">
        <v>280</v>
      </c>
      <c r="L86" s="15">
        <v>2.19</v>
      </c>
      <c r="M86" s="15">
        <v>28.3</v>
      </c>
      <c r="N86" s="19">
        <v>0.86399999999999999</v>
      </c>
      <c r="O86" s="19">
        <v>1.4E-3</v>
      </c>
      <c r="R86" s="15" t="str">
        <f>VLOOKUP(D86,Сountries!V:Z,2,0)</f>
        <v>Oceania</v>
      </c>
      <c r="S86" s="15" t="str">
        <f>VLOOKUP(D86,Сountries!V:Z,3,0)</f>
        <v>Caribbean</v>
      </c>
      <c r="T86" s="15" t="str">
        <f>VLOOKUP(D86,Сountries!V:Z,5,0)</f>
        <v>🇩🇴</v>
      </c>
      <c r="U86" s="15" t="b">
        <f t="shared" si="1"/>
        <v>1</v>
      </c>
    </row>
    <row r="87" spans="1:21" ht="16" x14ac:dyDescent="0.2">
      <c r="A87" s="15">
        <v>86</v>
      </c>
      <c r="B87" s="15" t="s">
        <v>624</v>
      </c>
      <c r="C87" s="15" t="s">
        <v>610</v>
      </c>
      <c r="D87" s="16" t="s">
        <v>88</v>
      </c>
      <c r="E87" s="15" t="s">
        <v>517</v>
      </c>
      <c r="F87" s="18">
        <v>11346000</v>
      </c>
      <c r="G87" s="19">
        <v>2.8899999999999999E-2</v>
      </c>
      <c r="H87" s="20">
        <v>318871</v>
      </c>
      <c r="I87" s="15">
        <v>136</v>
      </c>
      <c r="J87" s="20">
        <v>83600</v>
      </c>
      <c r="K87" s="20">
        <v>158634</v>
      </c>
      <c r="L87" s="15">
        <v>1.21</v>
      </c>
      <c r="M87" s="15">
        <v>31.6</v>
      </c>
      <c r="N87" s="19">
        <v>0.81100000000000005</v>
      </c>
      <c r="O87" s="19">
        <v>1.4E-3</v>
      </c>
      <c r="R87" s="15" t="str">
        <f>VLOOKUP(D87,Сountries!V:Z,2,0)</f>
        <v>Asia</v>
      </c>
      <c r="S87" s="15" t="str">
        <f>VLOOKUP(D87,Сountries!V:Z,3,0)</f>
        <v>Western Asia</v>
      </c>
      <c r="T87" s="15" t="str">
        <f>VLOOKUP(D87,Сountries!V:Z,5,0)</f>
        <v>🇦🇪</v>
      </c>
      <c r="U87" s="15" t="b">
        <f t="shared" si="1"/>
        <v>1</v>
      </c>
    </row>
    <row r="88" spans="1:21" ht="16" x14ac:dyDescent="0.2">
      <c r="A88" s="15">
        <v>87</v>
      </c>
      <c r="B88" s="15" t="s">
        <v>625</v>
      </c>
      <c r="C88" s="15" t="s">
        <v>618</v>
      </c>
      <c r="D88" s="16" t="s">
        <v>89</v>
      </c>
      <c r="E88" s="15" t="s">
        <v>585</v>
      </c>
      <c r="F88" s="18">
        <v>11005850</v>
      </c>
      <c r="G88" s="19">
        <v>1.66E-2</v>
      </c>
      <c r="H88" s="20">
        <v>180147</v>
      </c>
      <c r="I88" s="15">
        <v>98</v>
      </c>
      <c r="J88" s="20">
        <v>111890</v>
      </c>
      <c r="K88" s="15" t="s">
        <v>281</v>
      </c>
      <c r="L88" s="15">
        <v>2.4500000000000002</v>
      </c>
      <c r="M88" s="15">
        <v>24.2</v>
      </c>
      <c r="N88" s="19">
        <v>0.58299999999999996</v>
      </c>
      <c r="O88" s="19">
        <v>1.2999999999999999E-3</v>
      </c>
      <c r="R88" s="15" t="str">
        <f>VLOOKUP(D88,Сountries!V:Z,2,0)</f>
        <v>America</v>
      </c>
      <c r="S88" s="15" t="str">
        <f>VLOOKUP(D88,Сountries!V:Z,3,0)</f>
        <v>Central America</v>
      </c>
      <c r="T88" s="15" t="str">
        <f>VLOOKUP(D88,Сountries!V:Z,5,0)</f>
        <v>🇭🇳</v>
      </c>
      <c r="U88" s="15" t="b">
        <f t="shared" si="1"/>
        <v>1</v>
      </c>
    </row>
    <row r="89" spans="1:21" ht="16" x14ac:dyDescent="0.2">
      <c r="A89" s="15">
        <v>88</v>
      </c>
      <c r="B89" s="15" t="s">
        <v>628</v>
      </c>
      <c r="C89" s="15" t="s">
        <v>619</v>
      </c>
      <c r="D89" s="16" t="s">
        <v>90</v>
      </c>
      <c r="E89" s="15" t="s">
        <v>586</v>
      </c>
      <c r="F89" s="18">
        <v>10937203</v>
      </c>
      <c r="G89" s="15" t="s">
        <v>282</v>
      </c>
      <c r="H89" s="15" t="s">
        <v>283</v>
      </c>
      <c r="I89" s="15">
        <v>103</v>
      </c>
      <c r="J89" s="20">
        <v>106440</v>
      </c>
      <c r="K89" s="15" t="s">
        <v>284</v>
      </c>
      <c r="L89" s="15">
        <v>1.45</v>
      </c>
      <c r="M89" s="15">
        <v>42.2</v>
      </c>
      <c r="N89" s="19">
        <v>0.81899999999999995</v>
      </c>
      <c r="O89" s="19">
        <v>1.2999999999999999E-3</v>
      </c>
      <c r="R89" s="15" t="str">
        <f>VLOOKUP(D89,Сountries!V:Z,2,0)</f>
        <v>Oceania</v>
      </c>
      <c r="S89" s="15" t="str">
        <f>VLOOKUP(D89,Сountries!V:Z,3,0)</f>
        <v>Caribbean</v>
      </c>
      <c r="T89" s="15" t="str">
        <f>VLOOKUP(D89,Сountries!V:Z,5,0)</f>
        <v>🇨🇺</v>
      </c>
      <c r="U89" s="15" t="b">
        <f t="shared" si="1"/>
        <v>1</v>
      </c>
    </row>
    <row r="90" spans="1:21" ht="16" x14ac:dyDescent="0.2">
      <c r="A90" s="15">
        <v>89</v>
      </c>
      <c r="B90" s="15" t="s">
        <v>624</v>
      </c>
      <c r="C90" s="15" t="s">
        <v>611</v>
      </c>
      <c r="D90" s="16" t="s">
        <v>91</v>
      </c>
      <c r="E90" s="15" t="s">
        <v>587</v>
      </c>
      <c r="F90" s="18">
        <v>10786734</v>
      </c>
      <c r="G90" s="19">
        <v>1.8499999999999999E-2</v>
      </c>
      <c r="H90" s="20">
        <v>195807</v>
      </c>
      <c r="I90" s="15">
        <v>77</v>
      </c>
      <c r="J90" s="20">
        <v>139960</v>
      </c>
      <c r="K90" s="15" t="s">
        <v>285</v>
      </c>
      <c r="L90" s="15">
        <v>2.99</v>
      </c>
      <c r="M90" s="15">
        <v>22.2</v>
      </c>
      <c r="N90" s="19">
        <v>0.27700000000000002</v>
      </c>
      <c r="O90" s="19">
        <v>1.2999999999999999E-3</v>
      </c>
      <c r="R90" s="15" t="str">
        <f>VLOOKUP(D90,Сountries!V:Z,2,0)</f>
        <v>Asia</v>
      </c>
      <c r="S90" s="15" t="str">
        <f>VLOOKUP(D90,Сountries!V:Z,3,0)</f>
        <v>Central Asia</v>
      </c>
      <c r="T90" s="15" t="str">
        <f>VLOOKUP(D90,Сountries!V:Z,5,0)</f>
        <v>🇹🇯</v>
      </c>
      <c r="U90" s="15" t="b">
        <f t="shared" si="1"/>
        <v>1</v>
      </c>
    </row>
    <row r="91" spans="1:21" ht="16" x14ac:dyDescent="0.2">
      <c r="A91" s="15">
        <v>90</v>
      </c>
      <c r="B91" s="15" t="s">
        <v>628</v>
      </c>
      <c r="C91" s="15" t="s">
        <v>621</v>
      </c>
      <c r="D91" s="16" t="s">
        <v>92</v>
      </c>
      <c r="E91" s="15" t="s">
        <v>588</v>
      </c>
      <c r="F91" s="18">
        <v>10762817</v>
      </c>
      <c r="G91" s="19">
        <v>1.7600000000000001E-2</v>
      </c>
      <c r="H91" s="20">
        <v>186315</v>
      </c>
      <c r="I91" s="15">
        <v>24</v>
      </c>
      <c r="J91" s="20">
        <v>452860</v>
      </c>
      <c r="K91" s="15" t="s">
        <v>286</v>
      </c>
      <c r="L91" s="15">
        <v>3.03</v>
      </c>
      <c r="M91" s="15">
        <v>22.8</v>
      </c>
      <c r="N91" s="19">
        <v>0.126</v>
      </c>
      <c r="O91" s="19">
        <v>1.2999999999999999E-3</v>
      </c>
      <c r="R91" s="15" t="str">
        <f>VLOOKUP(D91,Сountries!V:Z,2,0)</f>
        <v>Oceania</v>
      </c>
      <c r="S91" s="15" t="str">
        <f>VLOOKUP(D91,Сountries!V:Z,3,0)</f>
        <v>Melanesia</v>
      </c>
      <c r="T91" s="15" t="str">
        <f>VLOOKUP(D91,Сountries!V:Z,5,0)</f>
        <v>🇵🇬</v>
      </c>
      <c r="U91" s="15" t="b">
        <f t="shared" si="1"/>
        <v>1</v>
      </c>
    </row>
    <row r="92" spans="1:21" ht="16" x14ac:dyDescent="0.2">
      <c r="A92" s="15">
        <v>91</v>
      </c>
      <c r="B92" s="15" t="s">
        <v>626</v>
      </c>
      <c r="C92" s="15" t="s">
        <v>615</v>
      </c>
      <c r="D92" s="16" t="s">
        <v>93</v>
      </c>
      <c r="E92" s="15" t="s">
        <v>589</v>
      </c>
      <c r="F92" s="18">
        <v>10656633</v>
      </c>
      <c r="G92" s="19">
        <v>4.7000000000000002E-3</v>
      </c>
      <c r="H92" s="20">
        <v>49634</v>
      </c>
      <c r="I92" s="15">
        <v>26</v>
      </c>
      <c r="J92" s="20">
        <v>410340</v>
      </c>
      <c r="K92" s="20">
        <v>47079</v>
      </c>
      <c r="L92" s="15">
        <v>1.44</v>
      </c>
      <c r="M92" s="15">
        <v>40.299999999999997</v>
      </c>
      <c r="N92" s="19">
        <v>0.874</v>
      </c>
      <c r="O92" s="19">
        <v>1.2999999999999999E-3</v>
      </c>
      <c r="R92" s="15" t="str">
        <f>VLOOKUP(D92,Сountries!V:Z,2,0)</f>
        <v>Europe</v>
      </c>
      <c r="S92" s="15" t="str">
        <f>VLOOKUP(D92,Сountries!V:Z,3,0)</f>
        <v>Northern Europe</v>
      </c>
      <c r="T92" s="15" t="str">
        <f>VLOOKUP(D92,Сountries!V:Z,5,0)</f>
        <v>🇸🇪</v>
      </c>
      <c r="U92" s="15" t="b">
        <f t="shared" si="1"/>
        <v>1</v>
      </c>
    </row>
    <row r="93" spans="1:21" ht="16" x14ac:dyDescent="0.2">
      <c r="A93" s="15">
        <v>92</v>
      </c>
      <c r="B93" s="15" t="s">
        <v>626</v>
      </c>
      <c r="C93" s="15" t="s">
        <v>613</v>
      </c>
      <c r="D93" s="16" t="s">
        <v>1320</v>
      </c>
      <c r="E93" s="15" t="s">
        <v>590</v>
      </c>
      <c r="F93" s="18">
        <v>10609239</v>
      </c>
      <c r="G93" s="15" t="s">
        <v>287</v>
      </c>
      <c r="H93" s="15" t="s">
        <v>288</v>
      </c>
      <c r="I93" s="15">
        <v>137</v>
      </c>
      <c r="J93" s="20">
        <v>77240</v>
      </c>
      <c r="K93" s="15" t="s">
        <v>289</v>
      </c>
      <c r="L93" s="15">
        <v>1.47</v>
      </c>
      <c r="M93" s="15">
        <v>43.8</v>
      </c>
      <c r="N93" s="21">
        <v>0.75</v>
      </c>
      <c r="O93" s="19">
        <v>1.2999999999999999E-3</v>
      </c>
      <c r="R93" s="15" t="str">
        <f>VLOOKUP(D93,Сountries!V:Z,2,0)</f>
        <v>Europe</v>
      </c>
      <c r="S93" s="15" t="str">
        <f>VLOOKUP(D93,Сountries!V:Z,3,0)</f>
        <v>Eastern Europe</v>
      </c>
      <c r="T93" s="15" t="str">
        <f>VLOOKUP(D93,Сountries!V:Z,5,0)</f>
        <v>🇨🇿</v>
      </c>
      <c r="U93" s="15" t="b">
        <f t="shared" si="1"/>
        <v>1</v>
      </c>
    </row>
    <row r="94" spans="1:21" ht="16" x14ac:dyDescent="0.2">
      <c r="A94" s="15">
        <v>93</v>
      </c>
      <c r="B94" s="15" t="s">
        <v>626</v>
      </c>
      <c r="C94" s="15" t="s">
        <v>616</v>
      </c>
      <c r="D94" s="16" t="s">
        <v>95</v>
      </c>
      <c r="E94" s="15" t="s">
        <v>591</v>
      </c>
      <c r="F94" s="18">
        <v>10411834</v>
      </c>
      <c r="G94" s="15" t="s">
        <v>290</v>
      </c>
      <c r="H94" s="15" t="s">
        <v>291</v>
      </c>
      <c r="I94" s="15">
        <v>114</v>
      </c>
      <c r="J94" s="20">
        <v>91590</v>
      </c>
      <c r="K94" s="20">
        <v>16472</v>
      </c>
      <c r="L94" s="15">
        <v>1.52</v>
      </c>
      <c r="M94" s="15">
        <v>46.9</v>
      </c>
      <c r="N94" s="19">
        <v>0.66500000000000004</v>
      </c>
      <c r="O94" s="19">
        <v>1.2999999999999999E-3</v>
      </c>
      <c r="R94" s="15" t="str">
        <f>VLOOKUP(D94,Сountries!V:Z,2,0)</f>
        <v>Europe</v>
      </c>
      <c r="S94" s="15" t="str">
        <f>VLOOKUP(D94,Сountries!V:Z,3,0)</f>
        <v>Southern Europe</v>
      </c>
      <c r="T94" s="15" t="str">
        <f>VLOOKUP(D94,Сountries!V:Z,5,0)</f>
        <v>🇵🇹</v>
      </c>
      <c r="U94" s="15" t="b">
        <f t="shared" si="1"/>
        <v>1</v>
      </c>
    </row>
    <row r="95" spans="1:21" ht="16" x14ac:dyDescent="0.2">
      <c r="A95" s="15">
        <v>94</v>
      </c>
      <c r="B95" s="15" t="s">
        <v>624</v>
      </c>
      <c r="C95" s="15" t="s">
        <v>610</v>
      </c>
      <c r="D95" s="16" t="s">
        <v>96</v>
      </c>
      <c r="E95" s="15" t="s">
        <v>592</v>
      </c>
      <c r="F95" s="18">
        <v>10397713</v>
      </c>
      <c r="G95" s="19">
        <v>5.8999999999999999E-3</v>
      </c>
      <c r="H95" s="20">
        <v>61136</v>
      </c>
      <c r="I95" s="15">
        <v>126</v>
      </c>
      <c r="J95" s="20">
        <v>82658</v>
      </c>
      <c r="K95" s="20">
        <v>8731</v>
      </c>
      <c r="L95" s="15">
        <v>1.67</v>
      </c>
      <c r="M95" s="15">
        <v>33.6</v>
      </c>
      <c r="N95" s="19">
        <v>0.58699999999999997</v>
      </c>
      <c r="O95" s="19">
        <v>1.2999999999999999E-3</v>
      </c>
      <c r="R95" s="15" t="str">
        <f>VLOOKUP(D95,Сountries!V:Z,2,0)</f>
        <v>Asia</v>
      </c>
      <c r="S95" s="15" t="str">
        <f>VLOOKUP(D95,Сountries!V:Z,3,0)</f>
        <v>Western Asia</v>
      </c>
      <c r="T95" s="15" t="str">
        <f>VLOOKUP(D95,Сountries!V:Z,5,0)</f>
        <v>🇦🇿</v>
      </c>
      <c r="U95" s="15" t="b">
        <f t="shared" si="1"/>
        <v>1</v>
      </c>
    </row>
    <row r="96" spans="1:21" ht="16" x14ac:dyDescent="0.2">
      <c r="A96" s="15">
        <v>95</v>
      </c>
      <c r="B96" s="15" t="s">
        <v>626</v>
      </c>
      <c r="C96" s="15" t="s">
        <v>616</v>
      </c>
      <c r="D96" s="16" t="s">
        <v>97</v>
      </c>
      <c r="E96" s="15" t="s">
        <v>593</v>
      </c>
      <c r="F96" s="18">
        <v>9938844</v>
      </c>
      <c r="G96" s="15" t="s">
        <v>292</v>
      </c>
      <c r="H96" s="15" t="s">
        <v>293</v>
      </c>
      <c r="I96" s="15">
        <v>77</v>
      </c>
      <c r="J96" s="20">
        <v>128900</v>
      </c>
      <c r="K96" s="20">
        <v>16636</v>
      </c>
      <c r="L96" s="15">
        <v>1.34</v>
      </c>
      <c r="M96" s="15">
        <v>46.8</v>
      </c>
      <c r="N96" s="19">
        <v>0.89500000000000002</v>
      </c>
      <c r="O96" s="19">
        <v>1.1999999999999999E-3</v>
      </c>
      <c r="R96" s="15" t="str">
        <f>VLOOKUP(D96,Сountries!V:Z,2,0)</f>
        <v>Europe</v>
      </c>
      <c r="S96" s="15" t="str">
        <f>VLOOKUP(D96,Сountries!V:Z,3,0)</f>
        <v>Southern Europe</v>
      </c>
      <c r="T96" s="15" t="str">
        <f>VLOOKUP(D96,Сountries!V:Z,5,0)</f>
        <v>🇬🇷</v>
      </c>
      <c r="U96" s="15" t="b">
        <f t="shared" si="1"/>
        <v>1</v>
      </c>
    </row>
    <row r="97" spans="1:21" ht="16" x14ac:dyDescent="0.2">
      <c r="A97" s="15">
        <v>96</v>
      </c>
      <c r="B97" s="15" t="s">
        <v>627</v>
      </c>
      <c r="C97" s="15" t="s">
        <v>602</v>
      </c>
      <c r="D97" s="16" t="s">
        <v>98</v>
      </c>
      <c r="E97" s="15" t="s">
        <v>594</v>
      </c>
      <c r="F97" s="18">
        <v>9721608</v>
      </c>
      <c r="G97" s="19">
        <v>2.1700000000000001E-2</v>
      </c>
      <c r="H97" s="20">
        <v>206372</v>
      </c>
      <c r="I97" s="15">
        <v>179</v>
      </c>
      <c r="J97" s="20">
        <v>54390</v>
      </c>
      <c r="K97" s="15" t="s">
        <v>294</v>
      </c>
      <c r="L97" s="15">
        <v>4.07</v>
      </c>
      <c r="M97" s="15">
        <v>19.100000000000001</v>
      </c>
      <c r="N97" s="19">
        <v>0.442</v>
      </c>
      <c r="O97" s="19">
        <v>1.1999999999999999E-3</v>
      </c>
      <c r="R97" s="15" t="str">
        <f>VLOOKUP(D97,Сountries!V:Z,2,0)</f>
        <v>Africa</v>
      </c>
      <c r="S97" s="15" t="str">
        <f>VLOOKUP(D97,Сountries!V:Z,3,0)</f>
        <v>Western Africa</v>
      </c>
      <c r="T97" s="15" t="str">
        <f>VLOOKUP(D97,Сountries!V:Z,5,0)</f>
        <v>🇹🇬</v>
      </c>
      <c r="U97" s="15" t="b">
        <f t="shared" si="1"/>
        <v>1</v>
      </c>
    </row>
    <row r="98" spans="1:21" ht="16" x14ac:dyDescent="0.2">
      <c r="A98" s="15">
        <v>97</v>
      </c>
      <c r="B98" s="15" t="s">
        <v>626</v>
      </c>
      <c r="C98" s="15" t="s">
        <v>613</v>
      </c>
      <c r="D98" s="16" t="s">
        <v>99</v>
      </c>
      <c r="E98" s="15" t="s">
        <v>595</v>
      </c>
      <c r="F98" s="18">
        <v>9632287</v>
      </c>
      <c r="G98" s="15" t="s">
        <v>295</v>
      </c>
      <c r="H98" s="15" t="s">
        <v>296</v>
      </c>
      <c r="I98" s="15">
        <v>106</v>
      </c>
      <c r="J98" s="20">
        <v>90530</v>
      </c>
      <c r="K98" s="15" t="s">
        <v>297</v>
      </c>
      <c r="L98" s="15">
        <v>1.5</v>
      </c>
      <c r="M98" s="15">
        <v>43.9</v>
      </c>
      <c r="N98" s="21">
        <v>0.72</v>
      </c>
      <c r="O98" s="19">
        <v>1.1999999999999999E-3</v>
      </c>
      <c r="R98" s="15" t="str">
        <f>VLOOKUP(D98,Сountries!V:Z,2,0)</f>
        <v>Europe</v>
      </c>
      <c r="S98" s="15" t="str">
        <f>VLOOKUP(D98,Сountries!V:Z,3,0)</f>
        <v>Eastern Europe</v>
      </c>
      <c r="T98" s="15" t="str">
        <f>VLOOKUP(D98,Сountries!V:Z,5,0)</f>
        <v>🇭🇺</v>
      </c>
      <c r="U98" s="15" t="b">
        <f t="shared" si="1"/>
        <v>1</v>
      </c>
    </row>
    <row r="99" spans="1:21" ht="16" x14ac:dyDescent="0.2">
      <c r="A99" s="15">
        <v>98</v>
      </c>
      <c r="B99" s="15" t="s">
        <v>624</v>
      </c>
      <c r="C99" s="15" t="s">
        <v>610</v>
      </c>
      <c r="D99" s="16" t="s">
        <v>100</v>
      </c>
      <c r="E99" s="15" t="s">
        <v>596</v>
      </c>
      <c r="F99" s="18">
        <v>9517181</v>
      </c>
      <c r="G99" s="19">
        <v>1.3899999999999999E-2</v>
      </c>
      <c r="H99" s="20">
        <v>130160</v>
      </c>
      <c r="I99" s="15">
        <v>440</v>
      </c>
      <c r="J99" s="20">
        <v>21640</v>
      </c>
      <c r="K99" s="20">
        <v>11466</v>
      </c>
      <c r="L99" s="15">
        <v>2.75</v>
      </c>
      <c r="M99" s="15">
        <v>29.2</v>
      </c>
      <c r="N99" s="19">
        <v>0.91400000000000003</v>
      </c>
      <c r="O99" s="19">
        <v>1.1999999999999999E-3</v>
      </c>
      <c r="R99" s="15" t="str">
        <f>VLOOKUP(D99,Сountries!V:Z,2,0)</f>
        <v>Asia</v>
      </c>
      <c r="S99" s="15" t="str">
        <f>VLOOKUP(D99,Сountries!V:Z,3,0)</f>
        <v>Western Asia</v>
      </c>
      <c r="T99" s="15" t="str">
        <f>VLOOKUP(D99,Сountries!V:Z,5,0)</f>
        <v>🇮🇱</v>
      </c>
      <c r="U99" s="15" t="b">
        <f t="shared" si="1"/>
        <v>1</v>
      </c>
    </row>
    <row r="100" spans="1:21" ht="16" x14ac:dyDescent="0.2">
      <c r="A100" s="15">
        <v>99</v>
      </c>
      <c r="B100" s="15" t="s">
        <v>626</v>
      </c>
      <c r="C100" s="15" t="s">
        <v>614</v>
      </c>
      <c r="D100" s="16" t="s">
        <v>101</v>
      </c>
      <c r="E100" s="15" t="s">
        <v>557</v>
      </c>
      <c r="F100" s="18">
        <v>9113574</v>
      </c>
      <c r="G100" s="15" t="s">
        <v>298</v>
      </c>
      <c r="H100" s="15" t="s">
        <v>299</v>
      </c>
      <c r="I100" s="15">
        <v>111</v>
      </c>
      <c r="J100" s="20">
        <v>82409</v>
      </c>
      <c r="K100" s="20">
        <v>11254</v>
      </c>
      <c r="L100" s="15">
        <v>1.33</v>
      </c>
      <c r="M100" s="15">
        <v>43.6</v>
      </c>
      <c r="N100" s="19">
        <v>0.58599999999999997</v>
      </c>
      <c r="O100" s="19">
        <v>1.1000000000000001E-3</v>
      </c>
      <c r="R100" s="15" t="str">
        <f>VLOOKUP(D100,Сountries!V:Z,2,0)</f>
        <v>Europe</v>
      </c>
      <c r="S100" s="15" t="str">
        <f>VLOOKUP(D100,Сountries!V:Z,3,0)</f>
        <v>Western Europe</v>
      </c>
      <c r="T100" s="15" t="str">
        <f>VLOOKUP(D100,Сountries!V:Z,5,0)</f>
        <v>🇦🇹</v>
      </c>
      <c r="U100" s="15" t="b">
        <f t="shared" si="1"/>
        <v>1</v>
      </c>
    </row>
    <row r="101" spans="1:21" ht="16" x14ac:dyDescent="0.2">
      <c r="A101" s="15">
        <v>100</v>
      </c>
      <c r="B101" s="15" t="s">
        <v>626</v>
      </c>
      <c r="C101" s="15" t="s">
        <v>613</v>
      </c>
      <c r="D101" s="16" t="s">
        <v>102</v>
      </c>
      <c r="E101" s="15" t="s">
        <v>598</v>
      </c>
      <c r="F101" s="18">
        <v>8997603</v>
      </c>
      <c r="G101" s="15" t="s">
        <v>300</v>
      </c>
      <c r="H101" s="15" t="s">
        <v>301</v>
      </c>
      <c r="I101" s="15">
        <v>44</v>
      </c>
      <c r="J101" s="20">
        <v>202910</v>
      </c>
      <c r="K101" s="15" t="s">
        <v>302</v>
      </c>
      <c r="L101" s="15">
        <v>1.23</v>
      </c>
      <c r="M101" s="15">
        <v>41.3</v>
      </c>
      <c r="N101" s="19">
        <v>0.84399999999999997</v>
      </c>
      <c r="O101" s="19">
        <v>1.1000000000000001E-3</v>
      </c>
      <c r="R101" s="15" t="str">
        <f>VLOOKUP(D101,Сountries!V:Z,2,0)</f>
        <v>Europe</v>
      </c>
      <c r="S101" s="15" t="str">
        <f>VLOOKUP(D101,Сountries!V:Z,3,0)</f>
        <v>Eastern Europe</v>
      </c>
      <c r="T101" s="15" t="str">
        <f>VLOOKUP(D101,Сountries!V:Z,5,0)</f>
        <v>🇧🇾</v>
      </c>
      <c r="U101" s="15" t="b">
        <f t="shared" si="1"/>
        <v>1</v>
      </c>
    </row>
    <row r="102" spans="1:21" ht="16" x14ac:dyDescent="0.2">
      <c r="A102" s="15">
        <v>101</v>
      </c>
      <c r="B102" s="15" t="s">
        <v>626</v>
      </c>
      <c r="C102" s="15" t="s">
        <v>614</v>
      </c>
      <c r="D102" s="16" t="s">
        <v>103</v>
      </c>
      <c r="E102" s="15" t="s">
        <v>599</v>
      </c>
      <c r="F102" s="18">
        <v>8967407</v>
      </c>
      <c r="G102" s="19">
        <v>5.1000000000000004E-3</v>
      </c>
      <c r="H102" s="20">
        <v>45426</v>
      </c>
      <c r="I102" s="15">
        <v>227</v>
      </c>
      <c r="J102" s="20">
        <v>39516</v>
      </c>
      <c r="K102" s="20">
        <v>37253</v>
      </c>
      <c r="L102" s="15">
        <v>1.44</v>
      </c>
      <c r="M102" s="15">
        <v>42.9</v>
      </c>
      <c r="N102" s="19">
        <v>0.74399999999999999</v>
      </c>
      <c r="O102" s="19">
        <v>1.1000000000000001E-3</v>
      </c>
      <c r="R102" s="15" t="str">
        <f>VLOOKUP(D102,Сountries!V:Z,2,0)</f>
        <v>Europe</v>
      </c>
      <c r="S102" s="15" t="str">
        <f>VLOOKUP(D102,Сountries!V:Z,3,0)</f>
        <v>Western Europe</v>
      </c>
      <c r="T102" s="15" t="str">
        <f>VLOOKUP(D102,Сountries!V:Z,5,0)</f>
        <v>🇨🇭</v>
      </c>
      <c r="U102" s="15" t="b">
        <f t="shared" si="1"/>
        <v>1</v>
      </c>
    </row>
    <row r="103" spans="1:21" ht="16" x14ac:dyDescent="0.2">
      <c r="A103" s="15">
        <v>102</v>
      </c>
      <c r="B103" s="15" t="s">
        <v>627</v>
      </c>
      <c r="C103" s="15" t="s">
        <v>602</v>
      </c>
      <c r="D103" s="16" t="s">
        <v>104</v>
      </c>
      <c r="E103" s="15" t="s">
        <v>600</v>
      </c>
      <c r="F103" s="18">
        <v>8819794</v>
      </c>
      <c r="G103" s="19">
        <v>2.06E-2</v>
      </c>
      <c r="H103" s="20">
        <v>177772</v>
      </c>
      <c r="I103" s="15">
        <v>122</v>
      </c>
      <c r="J103" s="20">
        <v>72180</v>
      </c>
      <c r="K103" s="15" t="s">
        <v>303</v>
      </c>
      <c r="L103" s="15">
        <v>3.61</v>
      </c>
      <c r="M103" s="15">
        <v>19.7</v>
      </c>
      <c r="N103" s="19">
        <v>0.45500000000000002</v>
      </c>
      <c r="O103" s="19">
        <v>1.1000000000000001E-3</v>
      </c>
      <c r="R103" s="15" t="str">
        <f>VLOOKUP(D103,Сountries!V:Z,2,0)</f>
        <v>Africa</v>
      </c>
      <c r="S103" s="15" t="str">
        <f>VLOOKUP(D103,Сountries!V:Z,3,0)</f>
        <v>Western Africa</v>
      </c>
      <c r="T103" s="15" t="str">
        <f>VLOOKUP(D103,Сountries!V:Z,5,0)</f>
        <v>🇸🇱</v>
      </c>
      <c r="U103" s="15" t="b">
        <f t="shared" si="1"/>
        <v>1</v>
      </c>
    </row>
    <row r="104" spans="1:21" ht="16" x14ac:dyDescent="0.2">
      <c r="A104" s="15">
        <v>103</v>
      </c>
      <c r="B104" s="15" t="s">
        <v>624</v>
      </c>
      <c r="C104" s="15" t="s">
        <v>609</v>
      </c>
      <c r="D104" s="16" t="s">
        <v>105</v>
      </c>
      <c r="E104" s="15" t="s">
        <v>601</v>
      </c>
      <c r="F104" s="18">
        <v>7873046</v>
      </c>
      <c r="G104" s="19">
        <v>1.3299999999999999E-2</v>
      </c>
      <c r="H104" s="20">
        <v>103227</v>
      </c>
      <c r="I104" s="15">
        <v>34</v>
      </c>
      <c r="J104" s="20">
        <v>230800</v>
      </c>
      <c r="K104" s="15" t="s">
        <v>304</v>
      </c>
      <c r="L104" s="15">
        <v>2.36</v>
      </c>
      <c r="M104" s="15">
        <v>24.9</v>
      </c>
      <c r="N104" s="19">
        <v>0.38300000000000001</v>
      </c>
      <c r="O104" s="19">
        <v>9.6000000000000002E-4</v>
      </c>
      <c r="R104" s="15" t="str">
        <f>VLOOKUP(D104,Сountries!V:Z,2,0)</f>
        <v>Asia</v>
      </c>
      <c r="S104" s="15" t="str">
        <f>VLOOKUP(D104,Сountries!V:Z,3,0)</f>
        <v>South-Eastern Asia</v>
      </c>
      <c r="T104" s="15" t="str">
        <f>VLOOKUP(D104,Сountries!V:Z,5,0)</f>
        <v>🇱🇦</v>
      </c>
      <c r="U104" s="15" t="b">
        <f t="shared" si="1"/>
        <v>1</v>
      </c>
    </row>
    <row r="105" spans="1:21" ht="16" x14ac:dyDescent="0.2">
      <c r="A105" s="15">
        <v>104</v>
      </c>
      <c r="B105" s="15" t="s">
        <v>624</v>
      </c>
      <c r="C105" s="15" t="s">
        <v>611</v>
      </c>
      <c r="D105" s="16" t="s">
        <v>106</v>
      </c>
      <c r="E105" s="15" t="s">
        <v>1231</v>
      </c>
      <c r="F105" s="18">
        <v>7618847</v>
      </c>
      <c r="G105" s="19">
        <v>1.66E-2</v>
      </c>
      <c r="H105" s="20">
        <v>124349</v>
      </c>
      <c r="I105" s="15">
        <v>16</v>
      </c>
      <c r="J105" s="20">
        <v>469930</v>
      </c>
      <c r="K105" s="20">
        <v>13268</v>
      </c>
      <c r="L105" s="15">
        <v>2.63</v>
      </c>
      <c r="M105" s="15">
        <v>26.9</v>
      </c>
      <c r="N105" s="19">
        <v>0.46500000000000002</v>
      </c>
      <c r="O105" s="19">
        <v>9.3000000000000005E-4</v>
      </c>
      <c r="R105" s="15" t="str">
        <f>VLOOKUP(D105,Сountries!V:Z,2,0)</f>
        <v>Asia</v>
      </c>
      <c r="S105" s="15" t="str">
        <f>VLOOKUP(D105,Сountries!V:Z,3,0)</f>
        <v>Central Asia</v>
      </c>
      <c r="T105" s="15" t="str">
        <f>VLOOKUP(D105,Сountries!V:Z,5,0)</f>
        <v>🇹🇲</v>
      </c>
      <c r="U105" s="15" t="b">
        <f t="shared" si="1"/>
        <v>1</v>
      </c>
    </row>
    <row r="106" spans="1:21" ht="16" x14ac:dyDescent="0.2">
      <c r="A106" s="15">
        <v>105</v>
      </c>
      <c r="B106" s="15" t="s">
        <v>627</v>
      </c>
      <c r="C106" s="15" t="s">
        <v>604</v>
      </c>
      <c r="D106" s="16" t="s">
        <v>107</v>
      </c>
      <c r="E106" s="15" t="s">
        <v>1232</v>
      </c>
      <c r="F106" s="18">
        <v>7458555</v>
      </c>
      <c r="G106" s="19">
        <v>1.0500000000000001E-2</v>
      </c>
      <c r="H106" s="20">
        <v>77532</v>
      </c>
      <c r="I106" s="15">
        <v>4</v>
      </c>
      <c r="J106" s="20">
        <v>1759540</v>
      </c>
      <c r="K106" s="15" t="s">
        <v>305</v>
      </c>
      <c r="L106" s="15">
        <v>2.25</v>
      </c>
      <c r="M106" s="15">
        <v>27.7</v>
      </c>
      <c r="N106" s="19">
        <v>0.77500000000000002</v>
      </c>
      <c r="O106" s="19">
        <v>9.1E-4</v>
      </c>
      <c r="R106" s="15" t="str">
        <f>VLOOKUP(D106,Сountries!V:Z,2,0)</f>
        <v>Africa</v>
      </c>
      <c r="S106" s="15" t="str">
        <f>VLOOKUP(D106,Сountries!V:Z,3,0)</f>
        <v>Northern Africa</v>
      </c>
      <c r="T106" s="15" t="str">
        <f>VLOOKUP(D106,Сountries!V:Z,5,0)</f>
        <v>🇱🇾</v>
      </c>
      <c r="U106" s="15" t="b">
        <f t="shared" si="1"/>
        <v>1</v>
      </c>
    </row>
    <row r="107" spans="1:21" ht="16" x14ac:dyDescent="0.2">
      <c r="A107" s="15">
        <v>106</v>
      </c>
      <c r="B107" s="15" t="s">
        <v>624</v>
      </c>
      <c r="C107" s="15" t="s">
        <v>608</v>
      </c>
      <c r="D107" s="16" t="s">
        <v>306</v>
      </c>
      <c r="E107" s="15" t="s">
        <v>1332</v>
      </c>
      <c r="F107" s="18">
        <v>7396076</v>
      </c>
      <c r="G107" s="15" t="s">
        <v>307</v>
      </c>
      <c r="H107" s="15" t="s">
        <v>308</v>
      </c>
      <c r="I107" s="20">
        <v>7044</v>
      </c>
      <c r="J107" s="20">
        <v>1050</v>
      </c>
      <c r="K107" s="20">
        <v>17863</v>
      </c>
      <c r="L107" s="15">
        <v>0.73</v>
      </c>
      <c r="M107" s="15">
        <v>47.4</v>
      </c>
      <c r="O107" s="19">
        <v>8.9999999999999998E-4</v>
      </c>
      <c r="R107" s="15" t="str">
        <f>VLOOKUP(D107,Сountries!V:Z,2,0)</f>
        <v>Asia</v>
      </c>
      <c r="S107" s="15" t="str">
        <f>VLOOKUP(D107,Сountries!V:Z,3,0)</f>
        <v>Eastern Asia</v>
      </c>
      <c r="T107" s="15" t="str">
        <f>VLOOKUP(D107,Сountries!V:Z,5,0)</f>
        <v>🇭🇰</v>
      </c>
      <c r="U107" s="15" t="b">
        <f t="shared" si="1"/>
        <v>1</v>
      </c>
    </row>
    <row r="108" spans="1:21" ht="16" x14ac:dyDescent="0.2">
      <c r="A108" s="15">
        <v>107</v>
      </c>
      <c r="B108" s="15" t="s">
        <v>624</v>
      </c>
      <c r="C108" s="15" t="s">
        <v>611</v>
      </c>
      <c r="D108" s="16" t="s">
        <v>108</v>
      </c>
      <c r="E108" s="15" t="s">
        <v>1233</v>
      </c>
      <c r="F108" s="18">
        <v>7295034</v>
      </c>
      <c r="G108" s="19">
        <v>1.52E-2</v>
      </c>
      <c r="H108" s="20">
        <v>109025</v>
      </c>
      <c r="I108" s="15">
        <v>38</v>
      </c>
      <c r="J108" s="20">
        <v>191800</v>
      </c>
      <c r="K108" s="20">
        <v>1815</v>
      </c>
      <c r="L108" s="15">
        <v>2.75</v>
      </c>
      <c r="M108" s="15">
        <v>25.4</v>
      </c>
      <c r="N108" s="19">
        <v>0.35299999999999998</v>
      </c>
      <c r="O108" s="19">
        <v>8.8999999999999995E-4</v>
      </c>
      <c r="R108" s="15" t="str">
        <f>VLOOKUP(D108,Сountries!V:Z,2,0)</f>
        <v>Asia</v>
      </c>
      <c r="S108" s="15" t="str">
        <f>VLOOKUP(D108,Сountries!V:Z,3,0)</f>
        <v>Central Asia</v>
      </c>
      <c r="T108" s="15" t="str">
        <f>VLOOKUP(D108,Сountries!V:Z,5,0)</f>
        <v>🇰🇬</v>
      </c>
      <c r="U108" s="15" t="b">
        <f t="shared" si="1"/>
        <v>1</v>
      </c>
    </row>
    <row r="109" spans="1:21" ht="16" x14ac:dyDescent="0.2">
      <c r="A109" s="15">
        <v>108</v>
      </c>
      <c r="B109" s="15" t="s">
        <v>625</v>
      </c>
      <c r="C109" s="15" t="s">
        <v>617</v>
      </c>
      <c r="D109" s="16" t="s">
        <v>109</v>
      </c>
      <c r="E109" s="15" t="s">
        <v>1234</v>
      </c>
      <c r="F109" s="18">
        <v>7013078</v>
      </c>
      <c r="G109" s="19">
        <v>1.21E-2</v>
      </c>
      <c r="H109" s="20">
        <v>83925</v>
      </c>
      <c r="I109" s="15">
        <v>18</v>
      </c>
      <c r="J109" s="20">
        <v>397300</v>
      </c>
      <c r="K109" s="15" t="s">
        <v>309</v>
      </c>
      <c r="L109" s="15">
        <v>2.4</v>
      </c>
      <c r="M109" s="15">
        <v>27</v>
      </c>
      <c r="N109" s="21">
        <v>0.68</v>
      </c>
      <c r="O109" s="19">
        <v>8.4999999999999995E-4</v>
      </c>
      <c r="R109" s="15" t="str">
        <f>VLOOKUP(D109,Сountries!V:Z,2,0)</f>
        <v>America</v>
      </c>
      <c r="S109" s="15" t="str">
        <f>VLOOKUP(D109,Сountries!V:Z,3,0)</f>
        <v>South America</v>
      </c>
      <c r="T109" s="15" t="str">
        <f>VLOOKUP(D109,Сountries!V:Z,5,0)</f>
        <v>🇵🇾</v>
      </c>
      <c r="U109" s="15" t="b">
        <f t="shared" si="1"/>
        <v>1</v>
      </c>
    </row>
    <row r="110" spans="1:21" ht="16" x14ac:dyDescent="0.2">
      <c r="A110" s="15">
        <v>109</v>
      </c>
      <c r="B110" s="15" t="s">
        <v>625</v>
      </c>
      <c r="C110" s="15" t="s">
        <v>618</v>
      </c>
      <c r="D110" s="16" t="s">
        <v>110</v>
      </c>
      <c r="E110" s="15" t="s">
        <v>1235</v>
      </c>
      <c r="F110" s="18">
        <v>7007502</v>
      </c>
      <c r="G110" s="19">
        <v>1.32E-2</v>
      </c>
      <c r="H110" s="20">
        <v>91362</v>
      </c>
      <c r="I110" s="15">
        <v>58</v>
      </c>
      <c r="J110" s="20">
        <v>120340</v>
      </c>
      <c r="K110" s="15" t="s">
        <v>310</v>
      </c>
      <c r="L110" s="15">
        <v>2.1800000000000002</v>
      </c>
      <c r="M110" s="15">
        <v>26</v>
      </c>
      <c r="N110" s="19">
        <v>0.58099999999999996</v>
      </c>
      <c r="O110" s="19">
        <v>8.4999999999999995E-4</v>
      </c>
      <c r="R110" s="15" t="str">
        <f>VLOOKUP(D110,Сountries!V:Z,2,0)</f>
        <v>America</v>
      </c>
      <c r="S110" s="15" t="str">
        <f>VLOOKUP(D110,Сountries!V:Z,3,0)</f>
        <v>Central America</v>
      </c>
      <c r="T110" s="15" t="str">
        <f>VLOOKUP(D110,Сountries!V:Z,5,0)</f>
        <v>🇳🇮</v>
      </c>
      <c r="U110" s="15" t="b">
        <f t="shared" si="1"/>
        <v>1</v>
      </c>
    </row>
    <row r="111" spans="1:21" ht="16" x14ac:dyDescent="0.2">
      <c r="A111" s="15">
        <v>110</v>
      </c>
      <c r="B111" s="15" t="s">
        <v>626</v>
      </c>
      <c r="C111" s="15" t="s">
        <v>613</v>
      </c>
      <c r="D111" s="16" t="s">
        <v>111</v>
      </c>
      <c r="E111" s="15" t="s">
        <v>1236</v>
      </c>
      <c r="F111" s="18">
        <v>6714560</v>
      </c>
      <c r="G111" s="15" t="s">
        <v>311</v>
      </c>
      <c r="H111" s="15" t="s">
        <v>312</v>
      </c>
      <c r="I111" s="15">
        <v>62</v>
      </c>
      <c r="J111" s="20">
        <v>108560</v>
      </c>
      <c r="K111" s="15" t="s">
        <v>313</v>
      </c>
      <c r="L111" s="15">
        <v>1.74</v>
      </c>
      <c r="M111" s="15">
        <v>44.8</v>
      </c>
      <c r="N111" s="19">
        <v>0.77100000000000002</v>
      </c>
      <c r="O111" s="19">
        <v>8.1999999999999998E-4</v>
      </c>
      <c r="R111" s="15" t="str">
        <f>VLOOKUP(D111,Сountries!V:Z,2,0)</f>
        <v>Europe</v>
      </c>
      <c r="S111" s="15" t="str">
        <f>VLOOKUP(D111,Сountries!V:Z,3,0)</f>
        <v>Eastern Europe</v>
      </c>
      <c r="T111" s="15" t="str">
        <f>VLOOKUP(D111,Сountries!V:Z,5,0)</f>
        <v>🇧🇬</v>
      </c>
      <c r="U111" s="15" t="b">
        <f t="shared" si="1"/>
        <v>1</v>
      </c>
    </row>
    <row r="112" spans="1:21" ht="16" x14ac:dyDescent="0.2">
      <c r="A112" s="15">
        <v>111</v>
      </c>
      <c r="B112" s="15" t="s">
        <v>626</v>
      </c>
      <c r="C112" s="15" t="s">
        <v>616</v>
      </c>
      <c r="D112" s="16" t="s">
        <v>112</v>
      </c>
      <c r="E112" s="15" t="s">
        <v>1237</v>
      </c>
      <c r="F112" s="18">
        <v>6689039</v>
      </c>
      <c r="G112" s="15" t="s">
        <v>314</v>
      </c>
      <c r="H112" s="15" t="s">
        <v>315</v>
      </c>
      <c r="I112" s="15">
        <v>76</v>
      </c>
      <c r="J112" s="20">
        <v>87460</v>
      </c>
      <c r="K112" s="15" t="s">
        <v>316</v>
      </c>
      <c r="L112" s="15">
        <v>1.5</v>
      </c>
      <c r="M112" s="15">
        <v>44.4</v>
      </c>
      <c r="N112" s="19">
        <v>0.73599999999999999</v>
      </c>
      <c r="O112" s="19">
        <v>8.0999999999999996E-4</v>
      </c>
      <c r="R112" s="15" t="str">
        <f>VLOOKUP(D112,Сountries!V:Z,2,0)</f>
        <v>Europe</v>
      </c>
      <c r="S112" s="15" t="str">
        <f>VLOOKUP(D112,Сountries!V:Z,3,0)</f>
        <v>Southern Europe</v>
      </c>
      <c r="T112" s="15" t="str">
        <f>VLOOKUP(D112,Сountries!V:Z,5,0)</f>
        <v>🇷🇸</v>
      </c>
      <c r="U112" s="15" t="b">
        <f t="shared" si="1"/>
        <v>1</v>
      </c>
    </row>
    <row r="113" spans="1:21" ht="16" x14ac:dyDescent="0.2">
      <c r="A113" s="15">
        <v>112</v>
      </c>
      <c r="B113" s="15" t="s">
        <v>627</v>
      </c>
      <c r="C113" s="15" t="s">
        <v>605</v>
      </c>
      <c r="D113" s="16" t="s">
        <v>113</v>
      </c>
      <c r="E113" s="15" t="s">
        <v>1238</v>
      </c>
      <c r="F113" s="18">
        <v>6484437</v>
      </c>
      <c r="G113" s="19">
        <v>2.3900000000000001E-2</v>
      </c>
      <c r="H113" s="20">
        <v>151476</v>
      </c>
      <c r="I113" s="15">
        <v>19</v>
      </c>
      <c r="J113" s="20">
        <v>341500</v>
      </c>
      <c r="K113" s="15" t="s">
        <v>317</v>
      </c>
      <c r="L113" s="15">
        <v>4.05</v>
      </c>
      <c r="M113" s="15">
        <v>18.600000000000001</v>
      </c>
      <c r="N113" s="19">
        <v>0.69799999999999995</v>
      </c>
      <c r="O113" s="19">
        <v>7.9000000000000001E-4</v>
      </c>
      <c r="R113" s="15" t="str">
        <f>VLOOKUP(D113,Сountries!V:Z,2,0)</f>
        <v>Africa</v>
      </c>
      <c r="S113" s="15" t="str">
        <f>VLOOKUP(D113,Сountries!V:Z,3,0)</f>
        <v>Middle Africa</v>
      </c>
      <c r="T113" s="15" t="str">
        <f>VLOOKUP(D113,Сountries!V:Z,5,0)</f>
        <v>🇨🇬</v>
      </c>
      <c r="U113" s="15" t="b">
        <f t="shared" si="1"/>
        <v>1</v>
      </c>
    </row>
    <row r="114" spans="1:21" ht="16" x14ac:dyDescent="0.2">
      <c r="A114" s="15">
        <v>113</v>
      </c>
      <c r="B114" s="15" t="s">
        <v>625</v>
      </c>
      <c r="C114" s="15" t="s">
        <v>618</v>
      </c>
      <c r="D114" s="16" t="s">
        <v>114</v>
      </c>
      <c r="E114" s="15" t="s">
        <v>1239</v>
      </c>
      <c r="F114" s="18">
        <v>6365503</v>
      </c>
      <c r="G114" s="19">
        <v>4.3E-3</v>
      </c>
      <c r="H114" s="20">
        <v>27310</v>
      </c>
      <c r="I114" s="15">
        <v>307</v>
      </c>
      <c r="J114" s="20">
        <v>20720</v>
      </c>
      <c r="K114" s="15" t="s">
        <v>318</v>
      </c>
      <c r="L114" s="15">
        <v>1.75</v>
      </c>
      <c r="M114" s="15">
        <v>27.9</v>
      </c>
      <c r="N114" s="19">
        <v>0.79900000000000004</v>
      </c>
      <c r="O114" s="19">
        <v>7.6999999999999996E-4</v>
      </c>
      <c r="R114" s="15" t="str">
        <f>VLOOKUP(D114,Сountries!V:Z,2,0)</f>
        <v>America</v>
      </c>
      <c r="S114" s="15" t="str">
        <f>VLOOKUP(D114,Сountries!V:Z,3,0)</f>
        <v>Central America</v>
      </c>
      <c r="T114" s="15" t="str">
        <f>VLOOKUP(D114,Сountries!V:Z,5,0)</f>
        <v>🇸🇻</v>
      </c>
      <c r="U114" s="15" t="b">
        <f t="shared" si="1"/>
        <v>1</v>
      </c>
    </row>
    <row r="115" spans="1:21" ht="16" x14ac:dyDescent="0.2">
      <c r="A115" s="15">
        <v>114</v>
      </c>
      <c r="B115" s="15" t="s">
        <v>626</v>
      </c>
      <c r="C115" s="15" t="s">
        <v>615</v>
      </c>
      <c r="D115" s="16" t="s">
        <v>115</v>
      </c>
      <c r="E115" s="15" t="s">
        <v>1240</v>
      </c>
      <c r="F115" s="18">
        <v>6002507</v>
      </c>
      <c r="G115" s="19">
        <v>4.1999999999999997E-3</v>
      </c>
      <c r="H115" s="20">
        <v>25095</v>
      </c>
      <c r="I115" s="15">
        <v>141</v>
      </c>
      <c r="J115" s="20">
        <v>42430</v>
      </c>
      <c r="K115" s="20">
        <v>22103</v>
      </c>
      <c r="L115" s="15">
        <v>1.52</v>
      </c>
      <c r="M115" s="15">
        <v>41.3</v>
      </c>
      <c r="N115" s="19">
        <v>0.874</v>
      </c>
      <c r="O115" s="19">
        <v>7.2999999999999996E-4</v>
      </c>
      <c r="R115" s="15" t="str">
        <f>VLOOKUP(D115,Сountries!V:Z,2,0)</f>
        <v>Europe</v>
      </c>
      <c r="S115" s="15" t="str">
        <f>VLOOKUP(D115,Сountries!V:Z,3,0)</f>
        <v>Northern Europe</v>
      </c>
      <c r="T115" s="15" t="str">
        <f>VLOOKUP(D115,Сountries!V:Z,5,0)</f>
        <v>🇩🇰</v>
      </c>
      <c r="U115" s="15" t="b">
        <f t="shared" si="1"/>
        <v>1</v>
      </c>
    </row>
    <row r="116" spans="1:21" ht="16" x14ac:dyDescent="0.2">
      <c r="A116" s="15">
        <v>115</v>
      </c>
      <c r="B116" s="15" t="s">
        <v>624</v>
      </c>
      <c r="C116" s="15" t="s">
        <v>609</v>
      </c>
      <c r="D116" s="16" t="s">
        <v>116</v>
      </c>
      <c r="E116" s="15" t="s">
        <v>1241</v>
      </c>
      <c r="F116" s="18">
        <v>5870750</v>
      </c>
      <c r="G116" s="19">
        <v>6.6E-3</v>
      </c>
      <c r="H116" s="20">
        <v>38363</v>
      </c>
      <c r="I116" s="20">
        <v>8387</v>
      </c>
      <c r="J116" s="15">
        <v>700</v>
      </c>
      <c r="K116" s="20">
        <v>16892</v>
      </c>
      <c r="L116" s="15">
        <v>0.96</v>
      </c>
      <c r="M116" s="15">
        <v>36.200000000000003</v>
      </c>
      <c r="O116" s="19">
        <v>7.1000000000000002E-4</v>
      </c>
      <c r="R116" s="15" t="str">
        <f>VLOOKUP(D116,Сountries!V:Z,2,0)</f>
        <v>Asia</v>
      </c>
      <c r="S116" s="15" t="str">
        <f>VLOOKUP(D116,Сountries!V:Z,3,0)</f>
        <v>South-Eastern Asia</v>
      </c>
      <c r="T116" s="15" t="str">
        <f>VLOOKUP(D116,Сountries!V:Z,5,0)</f>
        <v>🇸🇬</v>
      </c>
      <c r="U116" s="15" t="b">
        <f t="shared" si="1"/>
        <v>1</v>
      </c>
    </row>
    <row r="117" spans="1:21" ht="16" x14ac:dyDescent="0.2">
      <c r="A117" s="15">
        <v>116</v>
      </c>
      <c r="B117" s="15" t="s">
        <v>624</v>
      </c>
      <c r="C117" s="15" t="s">
        <v>610</v>
      </c>
      <c r="D117" s="16" t="s">
        <v>117</v>
      </c>
      <c r="E117" s="15" t="s">
        <v>1242</v>
      </c>
      <c r="F117" s="18">
        <v>5849421</v>
      </c>
      <c r="G117" s="19">
        <v>7.4999999999999997E-3</v>
      </c>
      <c r="H117" s="20">
        <v>43459</v>
      </c>
      <c r="I117" s="15">
        <v>572</v>
      </c>
      <c r="J117" s="20">
        <v>10230</v>
      </c>
      <c r="K117" s="15" t="s">
        <v>319</v>
      </c>
      <c r="L117" s="15">
        <v>2.21</v>
      </c>
      <c r="M117" s="15">
        <v>28.8</v>
      </c>
      <c r="N117" s="21">
        <v>0.86</v>
      </c>
      <c r="O117" s="19">
        <v>7.1000000000000002E-4</v>
      </c>
      <c r="R117" s="15" t="str">
        <f>VLOOKUP(D117,Сountries!V:Z,2,0)</f>
        <v>Asia</v>
      </c>
      <c r="S117" s="15" t="str">
        <f>VLOOKUP(D117,Сountries!V:Z,3,0)</f>
        <v>Western Asia</v>
      </c>
      <c r="T117" s="15" t="str">
        <f>VLOOKUP(D117,Сountries!V:Z,5,0)</f>
        <v>🇱🇧</v>
      </c>
      <c r="U117" s="15" t="b">
        <f t="shared" si="1"/>
        <v>1</v>
      </c>
    </row>
    <row r="118" spans="1:21" ht="16" x14ac:dyDescent="0.2">
      <c r="A118" s="15">
        <v>117</v>
      </c>
      <c r="B118" s="15" t="s">
        <v>627</v>
      </c>
      <c r="C118" s="15" t="s">
        <v>602</v>
      </c>
      <c r="D118" s="16" t="s">
        <v>118</v>
      </c>
      <c r="E118" s="15" t="s">
        <v>1243</v>
      </c>
      <c r="F118" s="18">
        <v>5731206</v>
      </c>
      <c r="G118" s="19">
        <v>2.1100000000000001E-2</v>
      </c>
      <c r="H118" s="20">
        <v>118389</v>
      </c>
      <c r="I118" s="15">
        <v>60</v>
      </c>
      <c r="J118" s="20">
        <v>96320</v>
      </c>
      <c r="K118" s="15" t="s">
        <v>320</v>
      </c>
      <c r="L118" s="15">
        <v>3.79</v>
      </c>
      <c r="M118" s="15">
        <v>18.8</v>
      </c>
      <c r="N118" s="21">
        <v>0.55000000000000004</v>
      </c>
      <c r="O118" s="19">
        <v>6.9999999999999999E-4</v>
      </c>
      <c r="R118" s="15" t="str">
        <f>VLOOKUP(D118,Сountries!V:Z,2,0)</f>
        <v>Africa</v>
      </c>
      <c r="S118" s="15" t="str">
        <f>VLOOKUP(D118,Сountries!V:Z,3,0)</f>
        <v>Western Africa</v>
      </c>
      <c r="T118" s="15" t="str">
        <f>VLOOKUP(D118,Сountries!V:Z,5,0)</f>
        <v>🇱🇷</v>
      </c>
      <c r="U118" s="15" t="b">
        <f t="shared" si="1"/>
        <v>1</v>
      </c>
    </row>
    <row r="119" spans="1:21" ht="16" x14ac:dyDescent="0.2">
      <c r="A119" s="15">
        <v>118</v>
      </c>
      <c r="B119" s="15" t="s">
        <v>626</v>
      </c>
      <c r="C119" s="15" t="s">
        <v>615</v>
      </c>
      <c r="D119" s="16" t="s">
        <v>119</v>
      </c>
      <c r="E119" s="15" t="s">
        <v>1244</v>
      </c>
      <c r="F119" s="18">
        <v>5623329</v>
      </c>
      <c r="G119" s="19">
        <v>1.1000000000000001E-3</v>
      </c>
      <c r="H119" s="20">
        <v>6019</v>
      </c>
      <c r="I119" s="15">
        <v>19</v>
      </c>
      <c r="J119" s="20">
        <v>303890</v>
      </c>
      <c r="K119" s="20">
        <v>18246</v>
      </c>
      <c r="L119" s="15">
        <v>1.3</v>
      </c>
      <c r="M119" s="15">
        <v>43.2</v>
      </c>
      <c r="N119" s="19">
        <v>0.86699999999999999</v>
      </c>
      <c r="O119" s="19">
        <v>6.8000000000000005E-4</v>
      </c>
      <c r="R119" s="15" t="str">
        <f>VLOOKUP(D119,Сountries!V:Z,2,0)</f>
        <v>Europe</v>
      </c>
      <c r="S119" s="15" t="str">
        <f>VLOOKUP(D119,Сountries!V:Z,3,0)</f>
        <v>Northern Europe</v>
      </c>
      <c r="T119" s="15" t="str">
        <f>VLOOKUP(D119,Сountries!V:Z,5,0)</f>
        <v>🇫🇮</v>
      </c>
      <c r="U119" s="15" t="b">
        <f t="shared" si="1"/>
        <v>1</v>
      </c>
    </row>
    <row r="120" spans="1:21" ht="16" x14ac:dyDescent="0.2">
      <c r="A120" s="15">
        <v>119</v>
      </c>
      <c r="B120" s="15" t="s">
        <v>626</v>
      </c>
      <c r="C120" s="15" t="s">
        <v>615</v>
      </c>
      <c r="D120" s="16" t="s">
        <v>120</v>
      </c>
      <c r="E120" s="15" t="s">
        <v>1245</v>
      </c>
      <c r="F120" s="18">
        <v>5623071</v>
      </c>
      <c r="G120" s="19">
        <v>8.3000000000000001E-3</v>
      </c>
      <c r="H120" s="20">
        <v>46411</v>
      </c>
      <c r="I120" s="15">
        <v>15</v>
      </c>
      <c r="J120" s="20">
        <v>365268</v>
      </c>
      <c r="K120" s="20">
        <v>29798</v>
      </c>
      <c r="L120" s="15">
        <v>1.42</v>
      </c>
      <c r="M120" s="15">
        <v>39.799999999999997</v>
      </c>
      <c r="N120" s="19">
        <v>0.85899999999999999</v>
      </c>
      <c r="O120" s="19">
        <v>6.8000000000000005E-4</v>
      </c>
      <c r="R120" s="15" t="str">
        <f>VLOOKUP(D120,Сountries!V:Z,2,0)</f>
        <v>Europe</v>
      </c>
      <c r="S120" s="15" t="str">
        <f>VLOOKUP(D120,Сountries!V:Z,3,0)</f>
        <v>Northern Europe</v>
      </c>
      <c r="T120" s="15" t="str">
        <f>VLOOKUP(D120,Сountries!V:Z,5,0)</f>
        <v>🇳🇴</v>
      </c>
      <c r="U120" s="15" t="b">
        <f t="shared" si="1"/>
        <v>1</v>
      </c>
    </row>
    <row r="121" spans="1:21" ht="16" x14ac:dyDescent="0.2">
      <c r="A121" s="15">
        <v>120</v>
      </c>
      <c r="B121" s="15" t="s">
        <v>624</v>
      </c>
      <c r="C121" s="15" t="s">
        <v>610</v>
      </c>
      <c r="D121" s="16" t="s">
        <v>121</v>
      </c>
      <c r="E121" s="15" t="s">
        <v>1217</v>
      </c>
      <c r="F121" s="18">
        <v>5589623</v>
      </c>
      <c r="G121" s="19">
        <v>1.7100000000000001E-2</v>
      </c>
      <c r="H121" s="20">
        <v>94180</v>
      </c>
      <c r="I121" s="15">
        <v>929</v>
      </c>
      <c r="J121" s="20">
        <v>6020</v>
      </c>
      <c r="K121" s="15" t="s">
        <v>321</v>
      </c>
      <c r="L121" s="15">
        <v>3.19</v>
      </c>
      <c r="M121" s="15">
        <v>20.100000000000001</v>
      </c>
      <c r="N121" s="19">
        <v>0.84199999999999997</v>
      </c>
      <c r="O121" s="19">
        <v>6.8000000000000005E-4</v>
      </c>
      <c r="R121" s="15" t="str">
        <f>VLOOKUP(D121,Сountries!V:Z,2,0)</f>
        <v>Asia</v>
      </c>
      <c r="S121" s="15" t="str">
        <f>VLOOKUP(D121,Сountries!V:Z,3,0)</f>
        <v>Western Asia</v>
      </c>
      <c r="T121" s="15" t="str">
        <f>VLOOKUP(D121,Сountries!V:Z,5,0)</f>
        <v>🇵🇸</v>
      </c>
      <c r="U121" s="15" t="b">
        <f t="shared" si="1"/>
        <v>1</v>
      </c>
    </row>
    <row r="122" spans="1:21" ht="16" x14ac:dyDescent="0.2">
      <c r="A122" s="15">
        <v>121</v>
      </c>
      <c r="B122" s="15" t="s">
        <v>627</v>
      </c>
      <c r="C122" s="15" t="s">
        <v>605</v>
      </c>
      <c r="D122" s="16" t="s">
        <v>122</v>
      </c>
      <c r="E122" s="15" t="s">
        <v>1246</v>
      </c>
      <c r="F122" s="18">
        <v>5513282</v>
      </c>
      <c r="G122" s="19">
        <v>3.4299999999999997E-2</v>
      </c>
      <c r="H122" s="20">
        <v>182592</v>
      </c>
      <c r="I122" s="15">
        <v>9</v>
      </c>
      <c r="J122" s="20">
        <v>622980</v>
      </c>
      <c r="K122" s="15" t="s">
        <v>322</v>
      </c>
      <c r="L122" s="15">
        <v>5.81</v>
      </c>
      <c r="M122" s="15">
        <v>14.5</v>
      </c>
      <c r="N122" s="19">
        <v>0.44500000000000001</v>
      </c>
      <c r="O122" s="19">
        <v>6.7000000000000002E-4</v>
      </c>
      <c r="R122" s="15" t="str">
        <f>VLOOKUP(D122,Сountries!V:Z,2,0)</f>
        <v>Africa</v>
      </c>
      <c r="S122" s="15" t="str">
        <f>VLOOKUP(D122,Сountries!V:Z,3,0)</f>
        <v>Middle Africa</v>
      </c>
      <c r="T122" s="15" t="str">
        <f>VLOOKUP(D122,Сountries!V:Z,5,0)</f>
        <v>🇨🇫</v>
      </c>
      <c r="U122" s="15" t="b">
        <f t="shared" si="1"/>
        <v>1</v>
      </c>
    </row>
    <row r="123" spans="1:21" ht="16" x14ac:dyDescent="0.2">
      <c r="A123" s="15">
        <v>122</v>
      </c>
      <c r="B123" s="15" t="s">
        <v>624</v>
      </c>
      <c r="C123" s="15" t="s">
        <v>610</v>
      </c>
      <c r="D123" s="16" t="s">
        <v>123</v>
      </c>
      <c r="E123" s="15" t="s">
        <v>1247</v>
      </c>
      <c r="F123" s="18">
        <v>5494691</v>
      </c>
      <c r="G123" s="19">
        <v>4.0399999999999998E-2</v>
      </c>
      <c r="H123" s="20">
        <v>213153</v>
      </c>
      <c r="I123" s="15">
        <v>18</v>
      </c>
      <c r="J123" s="20">
        <v>309500</v>
      </c>
      <c r="K123" s="20">
        <v>113734</v>
      </c>
      <c r="L123" s="15">
        <v>2.48</v>
      </c>
      <c r="M123" s="15">
        <v>29.7</v>
      </c>
      <c r="N123" s="19">
        <v>0.90800000000000003</v>
      </c>
      <c r="O123" s="19">
        <v>6.7000000000000002E-4</v>
      </c>
      <c r="R123" s="15" t="str">
        <f>VLOOKUP(D123,Сountries!V:Z,2,0)</f>
        <v>Asia</v>
      </c>
      <c r="S123" s="15" t="str">
        <f>VLOOKUP(D123,Сountries!V:Z,3,0)</f>
        <v>Western Asia</v>
      </c>
      <c r="T123" s="15" t="str">
        <f>VLOOKUP(D123,Сountries!V:Z,5,0)</f>
        <v>🇴🇲</v>
      </c>
      <c r="U123" s="15" t="b">
        <f t="shared" si="1"/>
        <v>1</v>
      </c>
    </row>
    <row r="124" spans="1:21" ht="16" x14ac:dyDescent="0.2">
      <c r="A124" s="15">
        <v>123</v>
      </c>
      <c r="B124" s="15" t="s">
        <v>626</v>
      </c>
      <c r="C124" s="15" t="s">
        <v>613</v>
      </c>
      <c r="D124" s="16" t="s">
        <v>124</v>
      </c>
      <c r="E124" s="15" t="s">
        <v>1248</v>
      </c>
      <c r="F124" s="18">
        <v>5474881</v>
      </c>
      <c r="G124" s="15" t="s">
        <v>323</v>
      </c>
      <c r="H124" s="15" t="s">
        <v>324</v>
      </c>
      <c r="I124" s="15">
        <v>114</v>
      </c>
      <c r="J124" s="20">
        <v>48088</v>
      </c>
      <c r="K124" s="15" t="s">
        <v>325</v>
      </c>
      <c r="L124" s="15">
        <v>1.57</v>
      </c>
      <c r="M124" s="15">
        <v>42.3</v>
      </c>
      <c r="N124" s="21">
        <v>0.54</v>
      </c>
      <c r="O124" s="19">
        <v>6.7000000000000002E-4</v>
      </c>
      <c r="R124" s="15" t="str">
        <f>VLOOKUP(D124,Сountries!V:Z,2,0)</f>
        <v>Europe</v>
      </c>
      <c r="S124" s="15" t="str">
        <f>VLOOKUP(D124,Сountries!V:Z,3,0)</f>
        <v>Eastern Europe</v>
      </c>
      <c r="T124" s="15" t="str">
        <f>VLOOKUP(D124,Сountries!V:Z,5,0)</f>
        <v>🇸🇰</v>
      </c>
      <c r="U124" s="15" t="b">
        <f t="shared" si="1"/>
        <v>1</v>
      </c>
    </row>
    <row r="125" spans="1:21" ht="16" x14ac:dyDescent="0.2">
      <c r="A125" s="15">
        <v>124</v>
      </c>
      <c r="B125" s="15" t="s">
        <v>627</v>
      </c>
      <c r="C125" s="15" t="s">
        <v>602</v>
      </c>
      <c r="D125" s="16" t="s">
        <v>125</v>
      </c>
      <c r="E125" s="15" t="s">
        <v>546</v>
      </c>
      <c r="F125" s="18">
        <v>5315065</v>
      </c>
      <c r="G125" s="19">
        <v>2.8199999999999999E-2</v>
      </c>
      <c r="H125" s="20">
        <v>145670</v>
      </c>
      <c r="I125" s="15">
        <v>5</v>
      </c>
      <c r="J125" s="20">
        <v>1030700</v>
      </c>
      <c r="K125" s="15" t="s">
        <v>326</v>
      </c>
      <c r="L125" s="15">
        <v>4.5599999999999996</v>
      </c>
      <c r="M125" s="15">
        <v>17.399999999999999</v>
      </c>
      <c r="N125" s="19">
        <v>0.60299999999999998</v>
      </c>
      <c r="O125" s="19">
        <v>6.4999999999999997E-4</v>
      </c>
      <c r="R125" s="15" t="str">
        <f>VLOOKUP(D125,Сountries!V:Z,2,0)</f>
        <v>Africa</v>
      </c>
      <c r="S125" s="15" t="str">
        <f>VLOOKUP(D125,Сountries!V:Z,3,0)</f>
        <v>Western Africa</v>
      </c>
      <c r="T125" s="15" t="str">
        <f>VLOOKUP(D125,Сountries!V:Z,5,0)</f>
        <v>🇲🇷</v>
      </c>
      <c r="U125" s="15" t="b">
        <f t="shared" si="1"/>
        <v>1</v>
      </c>
    </row>
    <row r="126" spans="1:21" ht="16" x14ac:dyDescent="0.2">
      <c r="A126" s="15">
        <v>125</v>
      </c>
      <c r="B126" s="15" t="s">
        <v>626</v>
      </c>
      <c r="C126" s="15" t="s">
        <v>615</v>
      </c>
      <c r="D126" s="16" t="s">
        <v>126</v>
      </c>
      <c r="E126" s="15" t="s">
        <v>1249</v>
      </c>
      <c r="F126" s="18">
        <v>5308039</v>
      </c>
      <c r="G126" s="19">
        <v>1.01E-2</v>
      </c>
      <c r="H126" s="20">
        <v>53022</v>
      </c>
      <c r="I126" s="15">
        <v>77</v>
      </c>
      <c r="J126" s="20">
        <v>68890</v>
      </c>
      <c r="K126" s="20">
        <v>35417</v>
      </c>
      <c r="L126" s="15">
        <v>1.6</v>
      </c>
      <c r="M126" s="15">
        <v>39</v>
      </c>
      <c r="N126" s="19">
        <v>0.621</v>
      </c>
      <c r="O126" s="19">
        <v>6.4000000000000005E-4</v>
      </c>
      <c r="R126" s="15" t="str">
        <f>VLOOKUP(D126,Сountries!V:Z,2,0)</f>
        <v>Europe</v>
      </c>
      <c r="S126" s="15" t="str">
        <f>VLOOKUP(D126,Сountries!V:Z,3,0)</f>
        <v>Northern Europe</v>
      </c>
      <c r="T126" s="15" t="str">
        <f>VLOOKUP(D126,Сountries!V:Z,5,0)</f>
        <v>🇮🇪</v>
      </c>
      <c r="U126" s="15" t="b">
        <f t="shared" si="1"/>
        <v>1</v>
      </c>
    </row>
    <row r="127" spans="1:21" ht="16" x14ac:dyDescent="0.2">
      <c r="A127" s="15">
        <v>126</v>
      </c>
      <c r="B127" s="15" t="s">
        <v>620</v>
      </c>
      <c r="C127" s="15" t="s">
        <v>620</v>
      </c>
      <c r="D127" s="16" t="s">
        <v>127</v>
      </c>
      <c r="E127" s="15" t="s">
        <v>1250</v>
      </c>
      <c r="F127" s="18">
        <v>5251899</v>
      </c>
      <c r="G127" s="19">
        <v>7.3000000000000001E-3</v>
      </c>
      <c r="H127" s="20">
        <v>37955</v>
      </c>
      <c r="I127" s="15">
        <v>20</v>
      </c>
      <c r="J127" s="20">
        <v>263310</v>
      </c>
      <c r="K127" s="20">
        <v>17403</v>
      </c>
      <c r="L127" s="15">
        <v>1.65</v>
      </c>
      <c r="M127" s="15">
        <v>37.700000000000003</v>
      </c>
      <c r="N127" s="19">
        <v>0.83599999999999997</v>
      </c>
      <c r="O127" s="19">
        <v>6.4000000000000005E-4</v>
      </c>
      <c r="R127" s="15" t="str">
        <f>VLOOKUP(D127,Сountries!V:Z,2,0)</f>
        <v>Australia and New Zealand</v>
      </c>
      <c r="S127" s="15" t="str">
        <f>VLOOKUP(D127,Сountries!V:Z,3,0)</f>
        <v>Australia and New Zealand</v>
      </c>
      <c r="T127" s="15" t="str">
        <f>VLOOKUP(D127,Сountries!V:Z,5,0)</f>
        <v>🇳🇿</v>
      </c>
      <c r="U127" s="15" t="b">
        <f t="shared" si="1"/>
        <v>1</v>
      </c>
    </row>
    <row r="128" spans="1:21" ht="16" x14ac:dyDescent="0.2">
      <c r="A128" s="15">
        <v>127</v>
      </c>
      <c r="B128" s="15" t="s">
        <v>625</v>
      </c>
      <c r="C128" s="15" t="s">
        <v>618</v>
      </c>
      <c r="D128" s="16" t="s">
        <v>128</v>
      </c>
      <c r="E128" s="15" t="s">
        <v>1251</v>
      </c>
      <c r="F128" s="18">
        <v>5152950</v>
      </c>
      <c r="G128" s="19">
        <v>4.4999999999999997E-3</v>
      </c>
      <c r="H128" s="20">
        <v>23040</v>
      </c>
      <c r="I128" s="15">
        <v>101</v>
      </c>
      <c r="J128" s="20">
        <v>51060</v>
      </c>
      <c r="K128" s="20">
        <v>1000</v>
      </c>
      <c r="L128" s="15">
        <v>1.31</v>
      </c>
      <c r="M128" s="15">
        <v>35.200000000000003</v>
      </c>
      <c r="N128" s="19">
        <v>0.85199999999999998</v>
      </c>
      <c r="O128" s="19">
        <v>6.3000000000000003E-4</v>
      </c>
      <c r="R128" s="15" t="str">
        <f>VLOOKUP(D128,Сountries!V:Z,2,0)</f>
        <v>America</v>
      </c>
      <c r="S128" s="15" t="str">
        <f>VLOOKUP(D128,Сountries!V:Z,3,0)</f>
        <v>Central America</v>
      </c>
      <c r="T128" s="15" t="str">
        <f>VLOOKUP(D128,Сountries!V:Z,5,0)</f>
        <v>🇨🇷</v>
      </c>
      <c r="U128" s="15" t="b">
        <f t="shared" si="1"/>
        <v>1</v>
      </c>
    </row>
    <row r="129" spans="1:21" ht="16" x14ac:dyDescent="0.2">
      <c r="A129" s="15">
        <v>128</v>
      </c>
      <c r="B129" s="15" t="s">
        <v>624</v>
      </c>
      <c r="C129" s="15" t="s">
        <v>610</v>
      </c>
      <c r="D129" s="16" t="s">
        <v>129</v>
      </c>
      <c r="E129" s="15" t="s">
        <v>1252</v>
      </c>
      <c r="F129" s="18">
        <v>5026078</v>
      </c>
      <c r="G129" s="19">
        <v>1.8599999999999998E-2</v>
      </c>
      <c r="H129" s="20">
        <v>91571</v>
      </c>
      <c r="I129" s="15">
        <v>282</v>
      </c>
      <c r="J129" s="20">
        <v>17820</v>
      </c>
      <c r="K129" s="20">
        <v>42775</v>
      </c>
      <c r="L129" s="15">
        <v>1.5</v>
      </c>
      <c r="M129" s="15">
        <v>34.799999999999997</v>
      </c>
      <c r="N129" s="19">
        <v>0.91600000000000004</v>
      </c>
      <c r="O129" s="19">
        <v>6.0999999999999997E-4</v>
      </c>
      <c r="R129" s="15" t="str">
        <f>VLOOKUP(D129,Сountries!V:Z,2,0)</f>
        <v>Asia</v>
      </c>
      <c r="S129" s="15" t="str">
        <f>VLOOKUP(D129,Сountries!V:Z,3,0)</f>
        <v>Western Asia</v>
      </c>
      <c r="T129" s="15" t="str">
        <f>VLOOKUP(D129,Сountries!V:Z,5,0)</f>
        <v>🇰🇼</v>
      </c>
      <c r="U129" s="15" t="b">
        <f t="shared" si="1"/>
        <v>1</v>
      </c>
    </row>
    <row r="130" spans="1:21" ht="16" x14ac:dyDescent="0.2">
      <c r="A130" s="15">
        <v>129</v>
      </c>
      <c r="B130" s="15" t="s">
        <v>625</v>
      </c>
      <c r="C130" s="15" t="s">
        <v>618</v>
      </c>
      <c r="D130" s="16" t="s">
        <v>130</v>
      </c>
      <c r="E130" s="15" t="s">
        <v>1253</v>
      </c>
      <c r="F130" s="18">
        <v>4571189</v>
      </c>
      <c r="G130" s="19">
        <v>1.23E-2</v>
      </c>
      <c r="H130" s="20">
        <v>55612</v>
      </c>
      <c r="I130" s="15">
        <v>61</v>
      </c>
      <c r="J130" s="20">
        <v>74340</v>
      </c>
      <c r="K130" s="20">
        <v>6151</v>
      </c>
      <c r="L130" s="15">
        <v>2.09</v>
      </c>
      <c r="M130" s="15">
        <v>30.3</v>
      </c>
      <c r="N130" s="19">
        <v>0.70699999999999996</v>
      </c>
      <c r="O130" s="19">
        <v>5.5999999999999995E-4</v>
      </c>
      <c r="R130" s="15" t="str">
        <f>VLOOKUP(D130,Сountries!V:Z,2,0)</f>
        <v>America</v>
      </c>
      <c r="S130" s="15" t="str">
        <f>VLOOKUP(D130,Сountries!V:Z,3,0)</f>
        <v>Central America</v>
      </c>
      <c r="T130" s="15" t="str">
        <f>VLOOKUP(D130,Сountries!V:Z,5,0)</f>
        <v>🇵🇦</v>
      </c>
      <c r="U130" s="15" t="b">
        <f t="shared" si="1"/>
        <v>1</v>
      </c>
    </row>
    <row r="131" spans="1:21" ht="16" x14ac:dyDescent="0.2">
      <c r="A131" s="15">
        <v>130</v>
      </c>
      <c r="B131" s="15" t="s">
        <v>626</v>
      </c>
      <c r="C131" s="15" t="s">
        <v>616</v>
      </c>
      <c r="D131" s="16" t="s">
        <v>131</v>
      </c>
      <c r="E131" s="15" t="s">
        <v>1254</v>
      </c>
      <c r="F131" s="18">
        <v>3848160</v>
      </c>
      <c r="G131" s="15" t="s">
        <v>314</v>
      </c>
      <c r="H131" s="15" t="s">
        <v>327</v>
      </c>
      <c r="I131" s="15">
        <v>69</v>
      </c>
      <c r="J131" s="20">
        <v>55960</v>
      </c>
      <c r="K131" s="15" t="s">
        <v>328</v>
      </c>
      <c r="L131" s="15">
        <v>1.47</v>
      </c>
      <c r="M131" s="15">
        <v>45.3</v>
      </c>
      <c r="N131" s="19">
        <v>0.61699999999999999</v>
      </c>
      <c r="O131" s="19">
        <v>4.6999999999999999E-4</v>
      </c>
      <c r="R131" s="15" t="str">
        <f>VLOOKUP(D131,Сountries!V:Z,2,0)</f>
        <v>Europe</v>
      </c>
      <c r="S131" s="15" t="str">
        <f>VLOOKUP(D131,Сountries!V:Z,3,0)</f>
        <v>Southern Europe</v>
      </c>
      <c r="T131" s="15" t="str">
        <f>VLOOKUP(D131,Сountries!V:Z,5,0)</f>
        <v>🇭🇷</v>
      </c>
      <c r="U131" s="15" t="b">
        <f t="shared" ref="U131:U194" si="2">E131=T131</f>
        <v>1</v>
      </c>
    </row>
    <row r="132" spans="1:21" ht="16" x14ac:dyDescent="0.2">
      <c r="A132" s="15">
        <v>131</v>
      </c>
      <c r="B132" s="15" t="s">
        <v>624</v>
      </c>
      <c r="C132" s="15" t="s">
        <v>610</v>
      </c>
      <c r="D132" s="16" t="s">
        <v>132</v>
      </c>
      <c r="E132" s="15" t="s">
        <v>1255</v>
      </c>
      <c r="F132" s="18">
        <v>3806671</v>
      </c>
      <c r="G132" s="15" t="s">
        <v>329</v>
      </c>
      <c r="H132" s="15" t="s">
        <v>330</v>
      </c>
      <c r="I132" s="15">
        <v>55</v>
      </c>
      <c r="J132" s="20">
        <v>69490</v>
      </c>
      <c r="K132" s="20">
        <v>1283</v>
      </c>
      <c r="L132" s="15">
        <v>1.79</v>
      </c>
      <c r="M132" s="15">
        <v>37.299999999999997</v>
      </c>
      <c r="N132" s="21">
        <v>0.62</v>
      </c>
      <c r="O132" s="19">
        <v>4.6000000000000001E-4</v>
      </c>
      <c r="R132" s="15" t="str">
        <f>VLOOKUP(D132,Сountries!V:Z,2,0)</f>
        <v>Asia</v>
      </c>
      <c r="S132" s="15" t="str">
        <f>VLOOKUP(D132,Сountries!V:Z,3,0)</f>
        <v>Western Asia</v>
      </c>
      <c r="T132" s="15" t="str">
        <f>VLOOKUP(D132,Сountries!V:Z,5,0)</f>
        <v>🇬🇪</v>
      </c>
      <c r="U132" s="15" t="b">
        <f t="shared" si="2"/>
        <v>1</v>
      </c>
    </row>
    <row r="133" spans="1:21" ht="16" x14ac:dyDescent="0.2">
      <c r="A133" s="15">
        <v>132</v>
      </c>
      <c r="B133" s="15" t="s">
        <v>627</v>
      </c>
      <c r="C133" s="15" t="s">
        <v>603</v>
      </c>
      <c r="D133" s="16" t="s">
        <v>133</v>
      </c>
      <c r="E133" s="15" t="s">
        <v>1256</v>
      </c>
      <c r="F133" s="18">
        <v>3607003</v>
      </c>
      <c r="G133" s="19">
        <v>2.0199999999999999E-2</v>
      </c>
      <c r="H133" s="20">
        <v>71400</v>
      </c>
      <c r="I133" s="15">
        <v>36</v>
      </c>
      <c r="J133" s="20">
        <v>101000</v>
      </c>
      <c r="K133" s="15" t="s">
        <v>331</v>
      </c>
      <c r="L133" s="15">
        <v>3.61</v>
      </c>
      <c r="M133" s="15">
        <v>19.2</v>
      </c>
      <c r="N133" s="19">
        <v>0.748</v>
      </c>
      <c r="O133" s="19">
        <v>4.4000000000000002E-4</v>
      </c>
      <c r="R133" s="15" t="str">
        <f>VLOOKUP(D133,Сountries!V:Z,2,0)</f>
        <v>Africa</v>
      </c>
      <c r="S133" s="15" t="str">
        <f>VLOOKUP(D133,Сountries!V:Z,3,0)</f>
        <v>Eastern Africa</v>
      </c>
      <c r="T133" s="15" t="str">
        <f>VLOOKUP(D133,Сountries!V:Z,5,0)</f>
        <v>🇪🇷</v>
      </c>
      <c r="U133" s="15" t="b">
        <f t="shared" si="2"/>
        <v>1</v>
      </c>
    </row>
    <row r="134" spans="1:21" ht="16" x14ac:dyDescent="0.2">
      <c r="A134" s="15">
        <v>133</v>
      </c>
      <c r="B134" s="15" t="s">
        <v>624</v>
      </c>
      <c r="C134" s="15" t="s">
        <v>608</v>
      </c>
      <c r="D134" s="16" t="s">
        <v>134</v>
      </c>
      <c r="E134" s="15" t="s">
        <v>1257</v>
      </c>
      <c r="F134" s="18">
        <v>3517100</v>
      </c>
      <c r="G134" s="19">
        <v>1.2E-2</v>
      </c>
      <c r="H134" s="20">
        <v>41560</v>
      </c>
      <c r="I134" s="15">
        <v>2</v>
      </c>
      <c r="J134" s="20">
        <v>1553560</v>
      </c>
      <c r="K134" s="15">
        <v>79</v>
      </c>
      <c r="L134" s="15">
        <v>2.58</v>
      </c>
      <c r="M134" s="15">
        <v>26.9</v>
      </c>
      <c r="N134" s="19">
        <v>0.67200000000000004</v>
      </c>
      <c r="O134" s="19">
        <v>4.2999999999999999E-4</v>
      </c>
      <c r="R134" s="15" t="str">
        <f>VLOOKUP(D134,Сountries!V:Z,2,0)</f>
        <v>Asia</v>
      </c>
      <c r="S134" s="15" t="str">
        <f>VLOOKUP(D134,Сountries!V:Z,3,0)</f>
        <v>Eastern Asia</v>
      </c>
      <c r="T134" s="15" t="str">
        <f>VLOOKUP(D134,Сountries!V:Z,5,0)</f>
        <v>🇲🇳</v>
      </c>
      <c r="U134" s="15" t="b">
        <f t="shared" si="2"/>
        <v>1</v>
      </c>
    </row>
    <row r="135" spans="1:21" ht="16" x14ac:dyDescent="0.2">
      <c r="A135" s="15">
        <v>134</v>
      </c>
      <c r="B135" s="15" t="s">
        <v>625</v>
      </c>
      <c r="C135" s="15" t="s">
        <v>617</v>
      </c>
      <c r="D135" s="16" t="s">
        <v>135</v>
      </c>
      <c r="E135" s="15" t="s">
        <v>518</v>
      </c>
      <c r="F135" s="18">
        <v>3384688</v>
      </c>
      <c r="G135" s="15" t="s">
        <v>332</v>
      </c>
      <c r="H135" s="15" t="s">
        <v>333</v>
      </c>
      <c r="I135" s="15">
        <v>19</v>
      </c>
      <c r="J135" s="20">
        <v>175020</v>
      </c>
      <c r="K135" s="15" t="s">
        <v>334</v>
      </c>
      <c r="L135" s="15">
        <v>1.39</v>
      </c>
      <c r="M135" s="15">
        <v>36.4</v>
      </c>
      <c r="O135" s="19">
        <v>4.0999999999999999E-4</v>
      </c>
      <c r="R135" s="15" t="str">
        <f>VLOOKUP(D135,Сountries!V:Z,2,0)</f>
        <v>America</v>
      </c>
      <c r="S135" s="15" t="str">
        <f>VLOOKUP(D135,Сountries!V:Z,3,0)</f>
        <v>South America</v>
      </c>
      <c r="T135" s="15" t="str">
        <f>VLOOKUP(D135,Сountries!V:Z,5,0)</f>
        <v>🇺🇾</v>
      </c>
      <c r="U135" s="15" t="b">
        <f t="shared" si="2"/>
        <v>1</v>
      </c>
    </row>
    <row r="136" spans="1:21" ht="16" x14ac:dyDescent="0.2">
      <c r="A136" s="15">
        <v>135</v>
      </c>
      <c r="B136" s="15" t="s">
        <v>625</v>
      </c>
      <c r="C136" s="15" t="s">
        <v>1362</v>
      </c>
      <c r="D136" s="16" t="s">
        <v>335</v>
      </c>
      <c r="E136" s="15" t="s">
        <v>1337</v>
      </c>
      <c r="F136" s="18">
        <v>3235289</v>
      </c>
      <c r="G136" s="15" t="s">
        <v>336</v>
      </c>
      <c r="H136" s="15" t="s">
        <v>337</v>
      </c>
      <c r="I136" s="15">
        <v>365</v>
      </c>
      <c r="J136" s="20">
        <v>8870</v>
      </c>
      <c r="K136" s="20">
        <v>5495</v>
      </c>
      <c r="L136" s="15">
        <v>0.94</v>
      </c>
      <c r="M136" s="15">
        <v>45.8</v>
      </c>
      <c r="O136" s="19">
        <v>3.8999999999999999E-4</v>
      </c>
      <c r="R136" s="15" t="str">
        <f>VLOOKUP(D136,Сountries!V:Z,2,0)</f>
        <v>America</v>
      </c>
      <c r="S136" s="15" t="str">
        <f>VLOOKUP(D136,Сountries!V:Z,3,0)</f>
        <v>Latin America</v>
      </c>
      <c r="T136" s="15" t="str">
        <f>VLOOKUP(D136,Сountries!V:Z,5,0)</f>
        <v>🇵🇷</v>
      </c>
      <c r="U136" s="15" t="b">
        <f t="shared" si="2"/>
        <v>1</v>
      </c>
    </row>
    <row r="137" spans="1:21" ht="16" x14ac:dyDescent="0.2">
      <c r="A137" s="15">
        <v>136</v>
      </c>
      <c r="B137" s="15" t="s">
        <v>626</v>
      </c>
      <c r="C137" s="15" t="s">
        <v>616</v>
      </c>
      <c r="D137" s="16" t="s">
        <v>136</v>
      </c>
      <c r="E137" s="15" t="s">
        <v>1258</v>
      </c>
      <c r="F137" s="18">
        <v>3140095</v>
      </c>
      <c r="G137" s="15" t="s">
        <v>338</v>
      </c>
      <c r="H137" s="15" t="s">
        <v>339</v>
      </c>
      <c r="I137" s="15">
        <v>62</v>
      </c>
      <c r="J137" s="20">
        <v>51000</v>
      </c>
      <c r="K137" s="15" t="s">
        <v>340</v>
      </c>
      <c r="L137" s="15">
        <v>1.5</v>
      </c>
      <c r="M137" s="15">
        <v>45.7</v>
      </c>
      <c r="N137" s="19">
        <v>0.56299999999999994</v>
      </c>
      <c r="O137" s="19">
        <v>3.8000000000000002E-4</v>
      </c>
      <c r="R137" s="15" t="str">
        <f>VLOOKUP(D137,Сountries!V:Z,2,0)</f>
        <v>Europe</v>
      </c>
      <c r="S137" s="15" t="str">
        <f>VLOOKUP(D137,Сountries!V:Z,3,0)</f>
        <v>Southern Europe</v>
      </c>
      <c r="T137" s="15" t="str">
        <f>VLOOKUP(D137,Сountries!V:Z,5,0)</f>
        <v>🇧🇦</v>
      </c>
      <c r="U137" s="15" t="b">
        <f t="shared" si="2"/>
        <v>1</v>
      </c>
    </row>
    <row r="138" spans="1:21" ht="16" x14ac:dyDescent="0.2">
      <c r="A138" s="15">
        <v>137</v>
      </c>
      <c r="B138" s="15" t="s">
        <v>624</v>
      </c>
      <c r="C138" s="15" t="s">
        <v>610</v>
      </c>
      <c r="D138" s="16" t="s">
        <v>137</v>
      </c>
      <c r="E138" s="15" t="s">
        <v>1259</v>
      </c>
      <c r="F138" s="18">
        <v>3115889</v>
      </c>
      <c r="G138" s="19">
        <v>2.2100000000000002E-2</v>
      </c>
      <c r="H138" s="20">
        <v>67466</v>
      </c>
      <c r="I138" s="15">
        <v>268</v>
      </c>
      <c r="J138" s="20">
        <v>11610</v>
      </c>
      <c r="K138" s="20">
        <v>36288</v>
      </c>
      <c r="L138" s="15">
        <v>1.7</v>
      </c>
      <c r="M138" s="15">
        <v>33.5</v>
      </c>
      <c r="N138" s="19">
        <v>0.96599999999999997</v>
      </c>
      <c r="O138" s="19">
        <v>3.8000000000000002E-4</v>
      </c>
      <c r="R138" s="15" t="str">
        <f>VLOOKUP(D138,Сountries!V:Z,2,0)</f>
        <v>Asia</v>
      </c>
      <c r="S138" s="15" t="str">
        <f>VLOOKUP(D138,Сountries!V:Z,3,0)</f>
        <v>Western Asia</v>
      </c>
      <c r="T138" s="15" t="str">
        <f>VLOOKUP(D138,Сountries!V:Z,5,0)</f>
        <v>🇶🇦</v>
      </c>
      <c r="U138" s="15" t="b">
        <f t="shared" si="2"/>
        <v>1</v>
      </c>
    </row>
    <row r="139" spans="1:21" ht="16" x14ac:dyDescent="0.2">
      <c r="A139" s="15">
        <v>138</v>
      </c>
      <c r="B139" s="15" t="s">
        <v>627</v>
      </c>
      <c r="C139" s="15" t="s">
        <v>606</v>
      </c>
      <c r="D139" s="16" t="s">
        <v>138</v>
      </c>
      <c r="E139" s="15" t="s">
        <v>1260</v>
      </c>
      <c r="F139" s="18">
        <v>3092816</v>
      </c>
      <c r="G139" s="19">
        <v>2.07E-2</v>
      </c>
      <c r="H139" s="20">
        <v>62685</v>
      </c>
      <c r="I139" s="15">
        <v>4</v>
      </c>
      <c r="J139" s="20">
        <v>823290</v>
      </c>
      <c r="K139" s="20">
        <v>1866</v>
      </c>
      <c r="L139" s="15">
        <v>3.17</v>
      </c>
      <c r="M139" s="15">
        <v>21.3</v>
      </c>
      <c r="N139" s="19">
        <v>0.54400000000000004</v>
      </c>
      <c r="O139" s="19">
        <v>3.8000000000000002E-4</v>
      </c>
      <c r="R139" s="15" t="str">
        <f>VLOOKUP(D139,Сountries!V:Z,2,0)</f>
        <v>Africa</v>
      </c>
      <c r="S139" s="15" t="str">
        <f>VLOOKUP(D139,Сountries!V:Z,3,0)</f>
        <v>Southern Africa</v>
      </c>
      <c r="T139" s="15" t="str">
        <f>VLOOKUP(D139,Сountries!V:Z,5,0)</f>
        <v>🇳🇦</v>
      </c>
      <c r="U139" s="15" t="b">
        <f t="shared" si="2"/>
        <v>1</v>
      </c>
    </row>
    <row r="140" spans="1:21" ht="16" x14ac:dyDescent="0.2">
      <c r="A140" s="15">
        <v>139</v>
      </c>
      <c r="B140" s="15" t="s">
        <v>626</v>
      </c>
      <c r="C140" s="15" t="s">
        <v>613</v>
      </c>
      <c r="D140" s="16" t="s">
        <v>139</v>
      </c>
      <c r="E140" s="15" t="s">
        <v>1261</v>
      </c>
      <c r="F140" s="18">
        <v>2996106</v>
      </c>
      <c r="G140" s="15" t="s">
        <v>341</v>
      </c>
      <c r="H140" s="15" t="s">
        <v>342</v>
      </c>
      <c r="I140" s="15">
        <v>91</v>
      </c>
      <c r="J140" s="20">
        <v>32850</v>
      </c>
      <c r="K140" s="15" t="s">
        <v>343</v>
      </c>
      <c r="L140" s="15">
        <v>1.72</v>
      </c>
      <c r="M140" s="15">
        <v>38.6</v>
      </c>
      <c r="N140" s="19">
        <v>0.57699999999999996</v>
      </c>
      <c r="O140" s="19">
        <v>3.6000000000000002E-4</v>
      </c>
      <c r="R140" s="15" t="str">
        <f>VLOOKUP(D140,Сountries!V:Z,2,0)</f>
        <v>Europe</v>
      </c>
      <c r="S140" s="15" t="str">
        <f>VLOOKUP(D140,Сountries!V:Z,3,0)</f>
        <v>Eastern Europe</v>
      </c>
      <c r="T140" s="15" t="str">
        <f>VLOOKUP(D140,Сountries!V:Z,5,0)</f>
        <v>🇲🇩</v>
      </c>
      <c r="U140" s="15" t="b">
        <f t="shared" si="2"/>
        <v>1</v>
      </c>
    </row>
    <row r="141" spans="1:21" ht="16" x14ac:dyDescent="0.2">
      <c r="A141" s="15">
        <v>140</v>
      </c>
      <c r="B141" s="15" t="s">
        <v>624</v>
      </c>
      <c r="C141" s="15" t="s">
        <v>610</v>
      </c>
      <c r="D141" s="16" t="s">
        <v>140</v>
      </c>
      <c r="E141" s="15" t="s">
        <v>1262</v>
      </c>
      <c r="F141" s="18">
        <v>2952365</v>
      </c>
      <c r="G141" s="15" t="s">
        <v>344</v>
      </c>
      <c r="H141" s="15" t="s">
        <v>345</v>
      </c>
      <c r="I141" s="15">
        <v>104</v>
      </c>
      <c r="J141" s="20">
        <v>28470</v>
      </c>
      <c r="K141" s="15" t="s">
        <v>346</v>
      </c>
      <c r="L141" s="15">
        <v>1.71</v>
      </c>
      <c r="M141" s="15">
        <v>36.6</v>
      </c>
      <c r="N141" s="19">
        <v>0.63800000000000001</v>
      </c>
      <c r="O141" s="19">
        <v>3.6000000000000002E-4</v>
      </c>
      <c r="R141" s="15" t="str">
        <f>VLOOKUP(D141,Сountries!V:Z,2,0)</f>
        <v>Asia</v>
      </c>
      <c r="S141" s="15" t="str">
        <f>VLOOKUP(D141,Сountries!V:Z,3,0)</f>
        <v>Western Asia</v>
      </c>
      <c r="T141" s="15" t="str">
        <f>VLOOKUP(D141,Сountries!V:Z,5,0)</f>
        <v>🇦🇲</v>
      </c>
      <c r="U141" s="15" t="b">
        <f t="shared" si="2"/>
        <v>1</v>
      </c>
    </row>
    <row r="142" spans="1:21" ht="16" x14ac:dyDescent="0.2">
      <c r="A142" s="15">
        <v>141</v>
      </c>
      <c r="B142" s="15" t="s">
        <v>628</v>
      </c>
      <c r="C142" s="15" t="s">
        <v>619</v>
      </c>
      <c r="D142" s="16" t="s">
        <v>141</v>
      </c>
      <c r="E142" s="15" t="s">
        <v>1263</v>
      </c>
      <c r="F142" s="18">
        <v>2837077</v>
      </c>
      <c r="G142" s="15" t="s">
        <v>222</v>
      </c>
      <c r="H142" s="15" t="s">
        <v>347</v>
      </c>
      <c r="I142" s="15">
        <v>262</v>
      </c>
      <c r="J142" s="20">
        <v>10830</v>
      </c>
      <c r="K142" s="15" t="s">
        <v>348</v>
      </c>
      <c r="L142" s="15">
        <v>1.34</v>
      </c>
      <c r="M142" s="15">
        <v>32.799999999999997</v>
      </c>
      <c r="N142" s="19">
        <v>0.60199999999999998</v>
      </c>
      <c r="O142" s="19">
        <v>3.4000000000000002E-4</v>
      </c>
      <c r="R142" s="15" t="str">
        <f>VLOOKUP(D142,Сountries!V:Z,2,0)</f>
        <v>Oceania</v>
      </c>
      <c r="S142" s="15" t="str">
        <f>VLOOKUP(D142,Сountries!V:Z,3,0)</f>
        <v>Caribbean</v>
      </c>
      <c r="T142" s="15" t="str">
        <f>VLOOKUP(D142,Сountries!V:Z,5,0)</f>
        <v>🇯🇲</v>
      </c>
      <c r="U142" s="15" t="b">
        <f t="shared" si="2"/>
        <v>1</v>
      </c>
    </row>
    <row r="143" spans="1:21" ht="16" x14ac:dyDescent="0.2">
      <c r="A143" s="15">
        <v>142</v>
      </c>
      <c r="B143" s="15" t="s">
        <v>626</v>
      </c>
      <c r="C143" s="15" t="s">
        <v>615</v>
      </c>
      <c r="D143" s="16" t="s">
        <v>142</v>
      </c>
      <c r="E143" s="15" t="s">
        <v>1264</v>
      </c>
      <c r="F143" s="18">
        <v>2830144</v>
      </c>
      <c r="G143" s="15" t="s">
        <v>349</v>
      </c>
      <c r="H143" s="15" t="s">
        <v>350</v>
      </c>
      <c r="I143" s="15">
        <v>45</v>
      </c>
      <c r="J143" s="20">
        <v>62674</v>
      </c>
      <c r="K143" s="15" t="s">
        <v>351</v>
      </c>
      <c r="L143" s="15">
        <v>1.22</v>
      </c>
      <c r="M143" s="15">
        <v>42.3</v>
      </c>
      <c r="N143" s="19">
        <v>0.68200000000000005</v>
      </c>
      <c r="O143" s="19">
        <v>3.4000000000000002E-4</v>
      </c>
      <c r="R143" s="15" t="str">
        <f>VLOOKUP(D143,Сountries!V:Z,2,0)</f>
        <v>Europe</v>
      </c>
      <c r="S143" s="15" t="str">
        <f>VLOOKUP(D143,Сountries!V:Z,3,0)</f>
        <v>Northern Europe</v>
      </c>
      <c r="T143" s="15" t="str">
        <f>VLOOKUP(D143,Сountries!V:Z,5,0)</f>
        <v>🇱🇹</v>
      </c>
      <c r="U143" s="15" t="b">
        <f t="shared" si="2"/>
        <v>1</v>
      </c>
    </row>
    <row r="144" spans="1:21" ht="16" x14ac:dyDescent="0.2">
      <c r="A144" s="15">
        <v>143</v>
      </c>
      <c r="B144" s="15" t="s">
        <v>627</v>
      </c>
      <c r="C144" s="15" t="s">
        <v>602</v>
      </c>
      <c r="D144" s="16" t="s">
        <v>143</v>
      </c>
      <c r="E144" s="15" t="s">
        <v>1265</v>
      </c>
      <c r="F144" s="18">
        <v>2822093</v>
      </c>
      <c r="G144" s="19">
        <v>2.2499999999999999E-2</v>
      </c>
      <c r="H144" s="20">
        <v>62105</v>
      </c>
      <c r="I144" s="15">
        <v>279</v>
      </c>
      <c r="J144" s="20">
        <v>10120</v>
      </c>
      <c r="K144" s="15" t="s">
        <v>352</v>
      </c>
      <c r="L144" s="15">
        <v>3.8</v>
      </c>
      <c r="M144" s="15">
        <v>18.600000000000001</v>
      </c>
      <c r="N144" s="19">
        <v>0.61299999999999999</v>
      </c>
      <c r="O144" s="19">
        <v>3.4000000000000002E-4</v>
      </c>
      <c r="R144" s="15" t="str">
        <f>VLOOKUP(D144,Сountries!V:Z,2,0)</f>
        <v>Africa</v>
      </c>
      <c r="S144" s="15" t="str">
        <f>VLOOKUP(D144,Сountries!V:Z,3,0)</f>
        <v>Western Africa</v>
      </c>
      <c r="T144" s="15" t="str">
        <f>VLOOKUP(D144,Сountries!V:Z,5,0)</f>
        <v>🇬🇲</v>
      </c>
      <c r="U144" s="15" t="b">
        <f t="shared" si="2"/>
        <v>1</v>
      </c>
    </row>
    <row r="145" spans="1:21" ht="16" x14ac:dyDescent="0.2">
      <c r="A145" s="15">
        <v>144</v>
      </c>
      <c r="B145" s="15" t="s">
        <v>626</v>
      </c>
      <c r="C145" s="15" t="s">
        <v>616</v>
      </c>
      <c r="D145" s="16" t="s">
        <v>144</v>
      </c>
      <c r="E145" s="15" t="s">
        <v>1266</v>
      </c>
      <c r="F145" s="18">
        <v>2771508</v>
      </c>
      <c r="G145" s="15" t="s">
        <v>353</v>
      </c>
      <c r="H145" s="15" t="s">
        <v>354</v>
      </c>
      <c r="I145" s="15">
        <v>101</v>
      </c>
      <c r="J145" s="20">
        <v>27400</v>
      </c>
      <c r="K145" s="15" t="s">
        <v>355</v>
      </c>
      <c r="L145" s="15">
        <v>1.33</v>
      </c>
      <c r="M145" s="15">
        <v>37.299999999999997</v>
      </c>
      <c r="N145" s="19">
        <v>0.70299999999999996</v>
      </c>
      <c r="O145" s="19">
        <v>3.4000000000000002E-4</v>
      </c>
      <c r="R145" s="15" t="str">
        <f>VLOOKUP(D145,Сountries!V:Z,2,0)</f>
        <v>Europe</v>
      </c>
      <c r="S145" s="15" t="str">
        <f>VLOOKUP(D145,Сountries!V:Z,3,0)</f>
        <v>Southern Europe</v>
      </c>
      <c r="T145" s="15" t="str">
        <f>VLOOKUP(D145,Сountries!V:Z,5,0)</f>
        <v>🇦🇱</v>
      </c>
      <c r="U145" s="15" t="b">
        <f t="shared" si="2"/>
        <v>1</v>
      </c>
    </row>
    <row r="146" spans="1:21" ht="16" x14ac:dyDescent="0.2">
      <c r="A146" s="15">
        <v>145</v>
      </c>
      <c r="B146" s="15" t="s">
        <v>627</v>
      </c>
      <c r="C146" s="15" t="s">
        <v>605</v>
      </c>
      <c r="D146" s="16" t="s">
        <v>145</v>
      </c>
      <c r="E146" s="15" t="s">
        <v>1267</v>
      </c>
      <c r="F146" s="18">
        <v>2593130</v>
      </c>
      <c r="G146" s="19">
        <v>2.1299999999999999E-2</v>
      </c>
      <c r="H146" s="20">
        <v>54178</v>
      </c>
      <c r="I146" s="15">
        <v>10</v>
      </c>
      <c r="J146" s="20">
        <v>257670</v>
      </c>
      <c r="K146" s="20">
        <v>1116</v>
      </c>
      <c r="L146" s="15">
        <v>3.54</v>
      </c>
      <c r="M146" s="15">
        <v>21.5</v>
      </c>
      <c r="N146" s="19">
        <v>0.83699999999999997</v>
      </c>
      <c r="O146" s="19">
        <v>3.2000000000000003E-4</v>
      </c>
      <c r="R146" s="15" t="str">
        <f>VLOOKUP(D146,Сountries!V:Z,2,0)</f>
        <v>Africa</v>
      </c>
      <c r="S146" s="15" t="str">
        <f>VLOOKUP(D146,Сountries!V:Z,3,0)</f>
        <v>Middle Africa</v>
      </c>
      <c r="T146" s="15" t="str">
        <f>VLOOKUP(D146,Сountries!V:Z,5,0)</f>
        <v>🇬🇦</v>
      </c>
      <c r="U146" s="15" t="b">
        <f t="shared" si="2"/>
        <v>1</v>
      </c>
    </row>
    <row r="147" spans="1:21" ht="16" x14ac:dyDescent="0.2">
      <c r="A147" s="15">
        <v>146</v>
      </c>
      <c r="B147" s="15" t="s">
        <v>627</v>
      </c>
      <c r="C147" s="15" t="s">
        <v>606</v>
      </c>
      <c r="D147" s="16" t="s">
        <v>146</v>
      </c>
      <c r="E147" s="15" t="s">
        <v>1268</v>
      </c>
      <c r="F147" s="18">
        <v>2562122</v>
      </c>
      <c r="G147" s="19">
        <v>1.6299999999999999E-2</v>
      </c>
      <c r="H147" s="20">
        <v>40983</v>
      </c>
      <c r="I147" s="15">
        <v>5</v>
      </c>
      <c r="J147" s="20">
        <v>566730</v>
      </c>
      <c r="K147" s="15" t="s">
        <v>356</v>
      </c>
      <c r="L147" s="15">
        <v>2.66</v>
      </c>
      <c r="M147" s="15">
        <v>23.4</v>
      </c>
      <c r="N147" s="19">
        <v>0.75600000000000001</v>
      </c>
      <c r="O147" s="19">
        <v>3.1E-4</v>
      </c>
      <c r="R147" s="15" t="str">
        <f>VLOOKUP(D147,Сountries!V:Z,2,0)</f>
        <v>Africa</v>
      </c>
      <c r="S147" s="15" t="str">
        <f>VLOOKUP(D147,Сountries!V:Z,3,0)</f>
        <v>Southern Africa</v>
      </c>
      <c r="T147" s="15" t="str">
        <f>VLOOKUP(D147,Сountries!V:Z,5,0)</f>
        <v>🇧🇼</v>
      </c>
      <c r="U147" s="15" t="b">
        <f t="shared" si="2"/>
        <v>1</v>
      </c>
    </row>
    <row r="148" spans="1:21" ht="16" x14ac:dyDescent="0.2">
      <c r="A148" s="15">
        <v>147</v>
      </c>
      <c r="B148" s="15" t="s">
        <v>627</v>
      </c>
      <c r="C148" s="15" t="s">
        <v>606</v>
      </c>
      <c r="D148" s="16" t="s">
        <v>147</v>
      </c>
      <c r="E148" s="15" t="s">
        <v>1269</v>
      </c>
      <c r="F148" s="18">
        <v>2363325</v>
      </c>
      <c r="G148" s="19">
        <v>1.11E-2</v>
      </c>
      <c r="H148" s="20">
        <v>25902</v>
      </c>
      <c r="I148" s="15">
        <v>78</v>
      </c>
      <c r="J148" s="20">
        <v>30360</v>
      </c>
      <c r="K148" s="15" t="s">
        <v>357</v>
      </c>
      <c r="L148" s="15">
        <v>2.64</v>
      </c>
      <c r="M148" s="15">
        <v>21.8</v>
      </c>
      <c r="N148" s="19">
        <v>0.32800000000000001</v>
      </c>
      <c r="O148" s="19">
        <v>2.9E-4</v>
      </c>
      <c r="R148" s="15" t="str">
        <f>VLOOKUP(D148,Сountries!V:Z,2,0)</f>
        <v>Africa</v>
      </c>
      <c r="S148" s="15" t="str">
        <f>VLOOKUP(D148,Сountries!V:Z,3,0)</f>
        <v>Southern Africa</v>
      </c>
      <c r="T148" s="15" t="str">
        <f>VLOOKUP(D148,Сountries!V:Z,5,0)</f>
        <v>🇱🇸</v>
      </c>
      <c r="U148" s="15" t="b">
        <f t="shared" si="2"/>
        <v>1</v>
      </c>
    </row>
    <row r="149" spans="1:21" ht="16" x14ac:dyDescent="0.2">
      <c r="A149" s="15">
        <v>148</v>
      </c>
      <c r="B149" s="15" t="s">
        <v>627</v>
      </c>
      <c r="C149" s="15" t="s">
        <v>602</v>
      </c>
      <c r="D149" s="16" t="s">
        <v>148</v>
      </c>
      <c r="E149" s="15" t="s">
        <v>1270</v>
      </c>
      <c r="F149" s="18">
        <v>2249515</v>
      </c>
      <c r="G149" s="19">
        <v>2.1899999999999999E-2</v>
      </c>
      <c r="H149" s="20">
        <v>48163</v>
      </c>
      <c r="I149" s="15">
        <v>80</v>
      </c>
      <c r="J149" s="20">
        <v>28120</v>
      </c>
      <c r="K149" s="15" t="s">
        <v>358</v>
      </c>
      <c r="L149" s="15">
        <v>3.68</v>
      </c>
      <c r="M149" s="15">
        <v>19.399999999999999</v>
      </c>
      <c r="N149" s="19">
        <v>0.46200000000000002</v>
      </c>
      <c r="O149" s="19">
        <v>2.7E-4</v>
      </c>
      <c r="R149" s="15" t="str">
        <f>VLOOKUP(D149,Сountries!V:Z,2,0)</f>
        <v>Africa</v>
      </c>
      <c r="S149" s="15" t="str">
        <f>VLOOKUP(D149,Сountries!V:Z,3,0)</f>
        <v>Western Africa</v>
      </c>
      <c r="T149" s="15" t="str">
        <f>VLOOKUP(D149,Сountries!V:Z,5,0)</f>
        <v>🇬🇳</v>
      </c>
      <c r="U149" s="15" t="b">
        <f t="shared" si="2"/>
        <v>1</v>
      </c>
    </row>
    <row r="150" spans="1:21" ht="16" x14ac:dyDescent="0.2">
      <c r="A150" s="15">
        <v>149</v>
      </c>
      <c r="B150" s="15" t="s">
        <v>626</v>
      </c>
      <c r="C150" s="15" t="s">
        <v>616</v>
      </c>
      <c r="D150" s="16" t="s">
        <v>149</v>
      </c>
      <c r="E150" s="15" t="s">
        <v>1271</v>
      </c>
      <c r="F150" s="18">
        <v>2117072</v>
      </c>
      <c r="G150" s="15" t="s">
        <v>298</v>
      </c>
      <c r="H150" s="15" t="s">
        <v>359</v>
      </c>
      <c r="I150" s="15">
        <v>105</v>
      </c>
      <c r="J150" s="20">
        <v>20140</v>
      </c>
      <c r="K150" s="20">
        <v>2711</v>
      </c>
      <c r="L150" s="15">
        <v>1.58</v>
      </c>
      <c r="M150" s="15">
        <v>44.6</v>
      </c>
      <c r="N150" s="19">
        <v>0.55700000000000005</v>
      </c>
      <c r="O150" s="19">
        <v>2.5999999999999998E-4</v>
      </c>
      <c r="R150" s="15" t="str">
        <f>VLOOKUP(D150,Сountries!V:Z,2,0)</f>
        <v>Europe</v>
      </c>
      <c r="S150" s="15" t="str">
        <f>VLOOKUP(D150,Сountries!V:Z,3,0)</f>
        <v>Southern Europe</v>
      </c>
      <c r="T150" s="15" t="str">
        <f>VLOOKUP(D150,Сountries!V:Z,5,0)</f>
        <v>🇸🇮</v>
      </c>
      <c r="U150" s="15" t="b">
        <f t="shared" si="2"/>
        <v>1</v>
      </c>
    </row>
    <row r="151" spans="1:21" ht="16" x14ac:dyDescent="0.2">
      <c r="A151" s="15">
        <v>150</v>
      </c>
      <c r="B151" s="15" t="s">
        <v>627</v>
      </c>
      <c r="C151" s="15" t="s">
        <v>605</v>
      </c>
      <c r="D151" s="16" t="s">
        <v>150</v>
      </c>
      <c r="E151" s="15" t="s">
        <v>1272</v>
      </c>
      <c r="F151" s="18">
        <v>1938431</v>
      </c>
      <c r="G151" s="19">
        <v>2.4299999999999999E-2</v>
      </c>
      <c r="H151" s="20">
        <v>45915</v>
      </c>
      <c r="I151" s="15">
        <v>69</v>
      </c>
      <c r="J151" s="20">
        <v>28050</v>
      </c>
      <c r="K151" s="20">
        <v>3812</v>
      </c>
      <c r="L151" s="15">
        <v>4.04</v>
      </c>
      <c r="M151" s="15">
        <v>20.9</v>
      </c>
      <c r="N151" s="19">
        <v>0.63600000000000001</v>
      </c>
      <c r="O151" s="19">
        <v>2.4000000000000001E-4</v>
      </c>
      <c r="R151" s="15" t="str">
        <f>VLOOKUP(D151,Сountries!V:Z,2,0)</f>
        <v>Africa</v>
      </c>
      <c r="S151" s="15" t="str">
        <f>VLOOKUP(D151,Сountries!V:Z,3,0)</f>
        <v>Middle Africa</v>
      </c>
      <c r="T151" s="15" t="str">
        <f>VLOOKUP(D151,Сountries!V:Z,5,0)</f>
        <v>🇬🇶</v>
      </c>
      <c r="U151" s="15" t="b">
        <f t="shared" si="2"/>
        <v>1</v>
      </c>
    </row>
    <row r="152" spans="1:21" ht="16" x14ac:dyDescent="0.2">
      <c r="A152" s="15">
        <v>151</v>
      </c>
      <c r="B152" s="15" t="s">
        <v>626</v>
      </c>
      <c r="C152" s="15" t="s">
        <v>615</v>
      </c>
      <c r="D152" s="16" t="s">
        <v>151</v>
      </c>
      <c r="E152" s="15" t="s">
        <v>1273</v>
      </c>
      <c r="F152" s="18">
        <v>1853559</v>
      </c>
      <c r="G152" s="15" t="s">
        <v>360</v>
      </c>
      <c r="H152" s="15" t="s">
        <v>361</v>
      </c>
      <c r="I152" s="15">
        <v>30</v>
      </c>
      <c r="J152" s="20">
        <v>62200</v>
      </c>
      <c r="K152" s="15" t="s">
        <v>362</v>
      </c>
      <c r="L152" s="15">
        <v>1.35</v>
      </c>
      <c r="M152" s="15">
        <v>43.6</v>
      </c>
      <c r="N152" s="19">
        <v>0.67500000000000004</v>
      </c>
      <c r="O152" s="19">
        <v>2.3000000000000001E-4</v>
      </c>
      <c r="R152" s="15" t="str">
        <f>VLOOKUP(D152,Сountries!V:Z,2,0)</f>
        <v>Europe</v>
      </c>
      <c r="S152" s="15" t="str">
        <f>VLOOKUP(D152,Сountries!V:Z,3,0)</f>
        <v>Northern Europe</v>
      </c>
      <c r="T152" s="15" t="str">
        <f>VLOOKUP(D152,Сountries!V:Z,5,0)</f>
        <v>🇱🇻</v>
      </c>
      <c r="U152" s="15" t="b">
        <f t="shared" si="2"/>
        <v>1</v>
      </c>
    </row>
    <row r="153" spans="1:21" ht="16" x14ac:dyDescent="0.2">
      <c r="A153" s="15">
        <v>152</v>
      </c>
      <c r="B153" s="15" t="s">
        <v>626</v>
      </c>
      <c r="C153" s="15" t="s">
        <v>616</v>
      </c>
      <c r="D153" s="16" t="s">
        <v>152</v>
      </c>
      <c r="E153" s="15" t="s">
        <v>1274</v>
      </c>
      <c r="F153" s="18">
        <v>1813791</v>
      </c>
      <c r="G153" s="15" t="s">
        <v>363</v>
      </c>
      <c r="H153" s="15" t="s">
        <v>364</v>
      </c>
      <c r="I153" s="15">
        <v>72</v>
      </c>
      <c r="J153" s="20">
        <v>25220</v>
      </c>
      <c r="K153" s="15" t="s">
        <v>365</v>
      </c>
      <c r="L153" s="15">
        <v>1.47</v>
      </c>
      <c r="M153" s="15">
        <v>41</v>
      </c>
      <c r="N153" s="19">
        <v>0.69399999999999995</v>
      </c>
      <c r="O153" s="19">
        <v>2.2000000000000001E-4</v>
      </c>
      <c r="R153" s="15" t="str">
        <f>VLOOKUP(D153,Сountries!V:Z,2,0)</f>
        <v>Europe</v>
      </c>
      <c r="S153" s="15" t="str">
        <f>VLOOKUP(D153,Сountries!V:Z,3,0)</f>
        <v>Southern Europe</v>
      </c>
      <c r="T153" s="15" t="str">
        <f>VLOOKUP(D153,Сountries!V:Z,5,0)</f>
        <v>🇲🇰</v>
      </c>
      <c r="U153" s="15" t="b">
        <f t="shared" si="2"/>
        <v>1</v>
      </c>
    </row>
    <row r="154" spans="1:21" ht="16" x14ac:dyDescent="0.2">
      <c r="A154" s="15">
        <v>153</v>
      </c>
      <c r="B154" s="15" t="s">
        <v>624</v>
      </c>
      <c r="C154" s="15" t="s">
        <v>610</v>
      </c>
      <c r="D154" s="16" t="s">
        <v>153</v>
      </c>
      <c r="E154" s="15" t="s">
        <v>1275</v>
      </c>
      <c r="F154" s="18">
        <v>1643332</v>
      </c>
      <c r="G154" s="19">
        <v>2.2599999999999999E-2</v>
      </c>
      <c r="H154" s="20">
        <v>36283</v>
      </c>
      <c r="I154" s="20">
        <v>2162</v>
      </c>
      <c r="J154" s="15">
        <v>760</v>
      </c>
      <c r="K154" s="20">
        <v>18128</v>
      </c>
      <c r="L154" s="15">
        <v>1.78</v>
      </c>
      <c r="M154" s="15">
        <v>33.4</v>
      </c>
      <c r="O154" s="19">
        <v>2.0000000000000001E-4</v>
      </c>
      <c r="R154" s="15" t="str">
        <f>VLOOKUP(D154,Сountries!V:Z,2,0)</f>
        <v>Asia</v>
      </c>
      <c r="S154" s="15" t="str">
        <f>VLOOKUP(D154,Сountries!V:Z,3,0)</f>
        <v>Western Asia</v>
      </c>
      <c r="T154" s="15" t="str">
        <f>VLOOKUP(D154,Сountries!V:Z,5,0)</f>
        <v>🇧🇭</v>
      </c>
      <c r="U154" s="15" t="b">
        <f t="shared" si="2"/>
        <v>1</v>
      </c>
    </row>
    <row r="155" spans="1:21" ht="16" x14ac:dyDescent="0.2">
      <c r="A155" s="15">
        <v>154</v>
      </c>
      <c r="B155" s="15" t="s">
        <v>628</v>
      </c>
      <c r="C155" s="15" t="s">
        <v>619</v>
      </c>
      <c r="D155" s="16" t="s">
        <v>154</v>
      </c>
      <c r="E155" s="15" t="s">
        <v>1276</v>
      </c>
      <c r="F155" s="18">
        <v>1511155</v>
      </c>
      <c r="G155" s="19">
        <v>2.2000000000000001E-3</v>
      </c>
      <c r="H155" s="20">
        <v>3373</v>
      </c>
      <c r="I155" s="15">
        <v>295</v>
      </c>
      <c r="J155" s="20">
        <v>5130</v>
      </c>
      <c r="K155" s="15">
        <v>691</v>
      </c>
      <c r="L155" s="15">
        <v>1.52</v>
      </c>
      <c r="M155" s="15">
        <v>37.700000000000003</v>
      </c>
      <c r="N155" s="19">
        <v>0.49099999999999999</v>
      </c>
      <c r="O155" s="19">
        <v>1.8000000000000001E-4</v>
      </c>
      <c r="R155" s="15" t="str">
        <f>VLOOKUP(D155,Сountries!V:Z,2,0)</f>
        <v>Oceania</v>
      </c>
      <c r="S155" s="15" t="str">
        <f>VLOOKUP(D155,Сountries!V:Z,3,0)</f>
        <v>Caribbean</v>
      </c>
      <c r="T155" s="15" t="str">
        <f>VLOOKUP(D155,Сountries!V:Z,5,0)</f>
        <v>🇹🇹</v>
      </c>
      <c r="U155" s="15" t="b">
        <f t="shared" si="2"/>
        <v>1</v>
      </c>
    </row>
    <row r="156" spans="1:21" ht="16" x14ac:dyDescent="0.2">
      <c r="A156" s="15">
        <v>155</v>
      </c>
      <c r="B156" s="15" t="s">
        <v>624</v>
      </c>
      <c r="C156" s="15" t="s">
        <v>609</v>
      </c>
      <c r="D156" s="16" t="s">
        <v>155</v>
      </c>
      <c r="E156" s="15" t="s">
        <v>1277</v>
      </c>
      <c r="F156" s="18">
        <v>1418517</v>
      </c>
      <c r="G156" s="19">
        <v>1.2800000000000001E-2</v>
      </c>
      <c r="H156" s="20">
        <v>17879</v>
      </c>
      <c r="I156" s="15">
        <v>95</v>
      </c>
      <c r="J156" s="20">
        <v>14870</v>
      </c>
      <c r="K156" s="15" t="s">
        <v>366</v>
      </c>
      <c r="L156" s="15">
        <v>2.56</v>
      </c>
      <c r="M156" s="15">
        <v>21.7</v>
      </c>
      <c r="N156" s="21">
        <v>0.36</v>
      </c>
      <c r="O156" s="19">
        <v>1.7000000000000001E-4</v>
      </c>
      <c r="R156" s="15" t="str">
        <f>VLOOKUP(D156,Сountries!V:Z,2,0)</f>
        <v>Asia</v>
      </c>
      <c r="S156" s="15" t="str">
        <f>VLOOKUP(D156,Сountries!V:Z,3,0)</f>
        <v>South-Eastern Asia</v>
      </c>
      <c r="T156" s="15" t="str">
        <f>VLOOKUP(D156,Сountries!V:Z,5,0)</f>
        <v>🇹🇱</v>
      </c>
      <c r="U156" s="15" t="b">
        <f t="shared" si="2"/>
        <v>1</v>
      </c>
    </row>
    <row r="157" spans="1:21" ht="16" x14ac:dyDescent="0.2">
      <c r="A157" s="15">
        <v>156</v>
      </c>
      <c r="B157" s="15" t="s">
        <v>624</v>
      </c>
      <c r="C157" s="15" t="s">
        <v>610</v>
      </c>
      <c r="D157" s="16" t="s">
        <v>156</v>
      </c>
      <c r="E157" s="15" t="s">
        <v>1278</v>
      </c>
      <c r="F157" s="18">
        <v>1370754</v>
      </c>
      <c r="G157" s="19">
        <v>9.1999999999999998E-3</v>
      </c>
      <c r="H157" s="20">
        <v>12472</v>
      </c>
      <c r="I157" s="15">
        <v>148</v>
      </c>
      <c r="J157" s="20">
        <v>9240</v>
      </c>
      <c r="K157" s="20">
        <v>7749</v>
      </c>
      <c r="L157" s="15">
        <v>1.37</v>
      </c>
      <c r="M157" s="15">
        <v>38.6</v>
      </c>
      <c r="N157" s="19">
        <v>0.61099999999999999</v>
      </c>
      <c r="O157" s="19">
        <v>1.7000000000000001E-4</v>
      </c>
      <c r="R157" s="15" t="str">
        <f>VLOOKUP(D157,Сountries!V:Z,2,0)</f>
        <v>Asia</v>
      </c>
      <c r="S157" s="15" t="str">
        <f>VLOOKUP(D157,Сountries!V:Z,3,0)</f>
        <v>Western Asia</v>
      </c>
      <c r="T157" s="15" t="str">
        <f>VLOOKUP(D157,Сountries!V:Z,5,0)</f>
        <v>🇨🇾</v>
      </c>
      <c r="U157" s="15" t="b">
        <f t="shared" si="2"/>
        <v>1</v>
      </c>
    </row>
    <row r="158" spans="1:21" ht="16" x14ac:dyDescent="0.2">
      <c r="A158" s="15">
        <v>157</v>
      </c>
      <c r="B158" s="15" t="s">
        <v>626</v>
      </c>
      <c r="C158" s="15" t="s">
        <v>615</v>
      </c>
      <c r="D158" s="16" t="s">
        <v>157</v>
      </c>
      <c r="E158" s="15" t="s">
        <v>1279</v>
      </c>
      <c r="F158" s="18">
        <v>1344232</v>
      </c>
      <c r="G158" s="15" t="s">
        <v>367</v>
      </c>
      <c r="H158" s="15" t="s">
        <v>368</v>
      </c>
      <c r="I158" s="15">
        <v>32</v>
      </c>
      <c r="J158" s="20">
        <v>42390</v>
      </c>
      <c r="K158" s="15" t="s">
        <v>369</v>
      </c>
      <c r="L158" s="15">
        <v>1.38</v>
      </c>
      <c r="M158" s="15">
        <v>42.8</v>
      </c>
      <c r="N158" s="19">
        <v>0.66900000000000004</v>
      </c>
      <c r="O158" s="19">
        <v>1.6000000000000001E-4</v>
      </c>
      <c r="R158" s="15" t="str">
        <f>VLOOKUP(D158,Сountries!V:Z,2,0)</f>
        <v>Europe</v>
      </c>
      <c r="S158" s="15" t="str">
        <f>VLOOKUP(D158,Сountries!V:Z,3,0)</f>
        <v>Northern Europe</v>
      </c>
      <c r="T158" s="15" t="str">
        <f>VLOOKUP(D158,Сountries!V:Z,5,0)</f>
        <v>🇪🇪</v>
      </c>
      <c r="U158" s="15" t="b">
        <f t="shared" si="2"/>
        <v>1</v>
      </c>
    </row>
    <row r="159" spans="1:21" ht="16" x14ac:dyDescent="0.2">
      <c r="A159" s="15">
        <v>158</v>
      </c>
      <c r="B159" s="15" t="s">
        <v>627</v>
      </c>
      <c r="C159" s="15" t="s">
        <v>603</v>
      </c>
      <c r="D159" s="16" t="s">
        <v>158</v>
      </c>
      <c r="E159" s="15" t="s">
        <v>547</v>
      </c>
      <c r="F159" s="18">
        <v>1268280</v>
      </c>
      <c r="G159" s="15" t="s">
        <v>200</v>
      </c>
      <c r="H159" s="15" t="s">
        <v>370</v>
      </c>
      <c r="I159" s="15">
        <v>625</v>
      </c>
      <c r="J159" s="20">
        <v>2030</v>
      </c>
      <c r="K159" s="15" t="s">
        <v>371</v>
      </c>
      <c r="L159" s="15">
        <v>1.21</v>
      </c>
      <c r="M159" s="15">
        <v>37.799999999999997</v>
      </c>
      <c r="N159" s="19">
        <v>0.41499999999999998</v>
      </c>
      <c r="O159" s="19">
        <v>1.4999999999999999E-4</v>
      </c>
      <c r="R159" s="15" t="str">
        <f>VLOOKUP(D159,Сountries!V:Z,2,0)</f>
        <v>Africa</v>
      </c>
      <c r="S159" s="15" t="str">
        <f>VLOOKUP(D159,Сountries!V:Z,3,0)</f>
        <v>Eastern Africa</v>
      </c>
      <c r="T159" s="15" t="str">
        <f>VLOOKUP(D159,Сountries!V:Z,5,0)</f>
        <v>🇲🇺</v>
      </c>
      <c r="U159" s="15" t="b">
        <f t="shared" si="2"/>
        <v>1</v>
      </c>
    </row>
    <row r="160" spans="1:21" ht="16" x14ac:dyDescent="0.2">
      <c r="A160" s="15">
        <v>159</v>
      </c>
      <c r="B160" s="15" t="s">
        <v>627</v>
      </c>
      <c r="C160" s="15" t="s">
        <v>606</v>
      </c>
      <c r="D160" s="16" t="s">
        <v>159</v>
      </c>
      <c r="E160" s="15" t="s">
        <v>1280</v>
      </c>
      <c r="F160" s="18">
        <v>1256174</v>
      </c>
      <c r="G160" s="19">
        <v>1.0699999999999999E-2</v>
      </c>
      <c r="H160" s="20">
        <v>13352</v>
      </c>
      <c r="I160" s="15">
        <v>73</v>
      </c>
      <c r="J160" s="20">
        <v>17200</v>
      </c>
      <c r="K160" s="15" t="s">
        <v>372</v>
      </c>
      <c r="L160" s="15">
        <v>2.68</v>
      </c>
      <c r="M160" s="15">
        <v>22.5</v>
      </c>
      <c r="N160" s="19">
        <v>0.313</v>
      </c>
      <c r="O160" s="19">
        <v>1.4999999999999999E-4</v>
      </c>
      <c r="R160" s="15" t="str">
        <f>VLOOKUP(D160,Сountries!V:Z,2,0)</f>
        <v>Africa</v>
      </c>
      <c r="S160" s="15" t="str">
        <f>VLOOKUP(D160,Сountries!V:Z,3,0)</f>
        <v>Southern Africa</v>
      </c>
      <c r="T160" s="15" t="str">
        <f>VLOOKUP(D160,Сountries!V:Z,5,0)</f>
        <v>🇸🇿</v>
      </c>
      <c r="U160" s="15" t="b">
        <f t="shared" si="2"/>
        <v>1</v>
      </c>
    </row>
    <row r="161" spans="1:21" ht="16" x14ac:dyDescent="0.2">
      <c r="A161" s="15">
        <v>160</v>
      </c>
      <c r="B161" s="15" t="s">
        <v>627</v>
      </c>
      <c r="C161" s="15" t="s">
        <v>603</v>
      </c>
      <c r="D161" s="16" t="s">
        <v>160</v>
      </c>
      <c r="E161" s="15" t="s">
        <v>1281</v>
      </c>
      <c r="F161" s="18">
        <v>1184076</v>
      </c>
      <c r="G161" s="19">
        <v>1.3100000000000001E-2</v>
      </c>
      <c r="H161" s="20">
        <v>15354</v>
      </c>
      <c r="I161" s="15">
        <v>51</v>
      </c>
      <c r="J161" s="20">
        <v>23180</v>
      </c>
      <c r="K161" s="15" t="s">
        <v>373</v>
      </c>
      <c r="L161" s="15">
        <v>2.58</v>
      </c>
      <c r="M161" s="15">
        <v>24.9</v>
      </c>
      <c r="N161" s="19">
        <v>0.71299999999999997</v>
      </c>
      <c r="O161" s="19">
        <v>1.3999999999999999E-4</v>
      </c>
      <c r="R161" s="15" t="str">
        <f>VLOOKUP(D161,Сountries!V:Z,2,0)</f>
        <v>Africa</v>
      </c>
      <c r="S161" s="15" t="str">
        <f>VLOOKUP(D161,Сountries!V:Z,3,0)</f>
        <v>Eastern Africa</v>
      </c>
      <c r="T161" s="15" t="str">
        <f>VLOOKUP(D161,Сountries!V:Z,5,0)</f>
        <v>🇩🇯</v>
      </c>
      <c r="U161" s="15" t="b">
        <f t="shared" si="2"/>
        <v>1</v>
      </c>
    </row>
    <row r="162" spans="1:21" ht="16" x14ac:dyDescent="0.2">
      <c r="A162" s="15">
        <v>161</v>
      </c>
      <c r="B162" s="15" t="s">
        <v>628</v>
      </c>
      <c r="C162" s="15" t="s">
        <v>621</v>
      </c>
      <c r="D162" s="16" t="s">
        <v>161</v>
      </c>
      <c r="E162" s="15" t="s">
        <v>1282</v>
      </c>
      <c r="F162" s="18">
        <v>933154</v>
      </c>
      <c r="G162" s="19">
        <v>4.7000000000000002E-3</v>
      </c>
      <c r="H162" s="20">
        <v>4370</v>
      </c>
      <c r="I162" s="15">
        <v>51</v>
      </c>
      <c r="J162" s="20">
        <v>18270</v>
      </c>
      <c r="K162" s="15" t="s">
        <v>374</v>
      </c>
      <c r="L162" s="15">
        <v>2.25</v>
      </c>
      <c r="M162" s="15">
        <v>28.1</v>
      </c>
      <c r="N162" s="19">
        <v>0.60799999999999998</v>
      </c>
      <c r="O162" s="19">
        <v>1.1E-4</v>
      </c>
      <c r="R162" s="15" t="str">
        <f>VLOOKUP(D162,Сountries!V:Z,2,0)</f>
        <v>Oceania</v>
      </c>
      <c r="S162" s="15" t="str">
        <f>VLOOKUP(D162,Сountries!V:Z,3,0)</f>
        <v>Melanesia</v>
      </c>
      <c r="T162" s="15" t="str">
        <f>VLOOKUP(D162,Сountries!V:Z,5,0)</f>
        <v>🇫🇯</v>
      </c>
      <c r="U162" s="15" t="b">
        <f t="shared" si="2"/>
        <v>1</v>
      </c>
    </row>
    <row r="163" spans="1:21" ht="16" x14ac:dyDescent="0.2">
      <c r="A163" s="15">
        <v>162</v>
      </c>
      <c r="B163" s="15" t="s">
        <v>627</v>
      </c>
      <c r="C163" s="15" t="s">
        <v>603</v>
      </c>
      <c r="D163" s="16" t="s">
        <v>162</v>
      </c>
      <c r="E163" s="15" t="s">
        <v>1283</v>
      </c>
      <c r="F163" s="18">
        <v>882847</v>
      </c>
      <c r="G163" s="19">
        <v>1.8700000000000001E-2</v>
      </c>
      <c r="H163" s="20">
        <v>16219</v>
      </c>
      <c r="I163" s="15">
        <v>474</v>
      </c>
      <c r="J163" s="20">
        <v>1861</v>
      </c>
      <c r="K163" s="15" t="s">
        <v>375</v>
      </c>
      <c r="L163" s="15">
        <v>3.76</v>
      </c>
      <c r="M163" s="15">
        <v>20.6</v>
      </c>
      <c r="N163" s="19">
        <v>0.33600000000000002</v>
      </c>
      <c r="O163" s="19">
        <v>1.1E-4</v>
      </c>
      <c r="R163" s="15" t="str">
        <f>VLOOKUP(D163,Сountries!V:Z,2,0)</f>
        <v>Africa</v>
      </c>
      <c r="S163" s="15" t="str">
        <f>VLOOKUP(D163,Сountries!V:Z,3,0)</f>
        <v>Eastern Africa</v>
      </c>
      <c r="T163" s="15" t="str">
        <f>VLOOKUP(D163,Сountries!V:Z,5,0)</f>
        <v>🇰🇲</v>
      </c>
      <c r="U163" s="15" t="b">
        <f t="shared" si="2"/>
        <v>1</v>
      </c>
    </row>
    <row r="164" spans="1:21" ht="16" x14ac:dyDescent="0.2">
      <c r="A164" s="15">
        <v>163</v>
      </c>
      <c r="B164" s="15" t="s">
        <v>627</v>
      </c>
      <c r="C164" s="15" t="s">
        <v>603</v>
      </c>
      <c r="D164" s="16" t="s">
        <v>376</v>
      </c>
      <c r="E164" s="15" t="s">
        <v>1338</v>
      </c>
      <c r="F164" s="18">
        <v>882405</v>
      </c>
      <c r="G164" s="19">
        <v>4.3E-3</v>
      </c>
      <c r="H164" s="20">
        <v>3814</v>
      </c>
      <c r="I164" s="15">
        <v>353</v>
      </c>
      <c r="J164" s="20">
        <v>2500</v>
      </c>
      <c r="K164" s="15" t="s">
        <v>377</v>
      </c>
      <c r="L164" s="15">
        <v>2.13</v>
      </c>
      <c r="M164" s="15">
        <v>38.1</v>
      </c>
      <c r="O164" s="19">
        <v>1.1E-4</v>
      </c>
      <c r="R164" s="15" t="str">
        <f>VLOOKUP(D164,Сountries!V:Z,2,0)</f>
        <v>Africa</v>
      </c>
      <c r="S164" s="15" t="str">
        <f>VLOOKUP(D164,Сountries!V:Z,3,0)</f>
        <v>Eastern Africa</v>
      </c>
      <c r="T164" s="15" t="str">
        <f>VLOOKUP(D164,Сountries!V:Z,5,0)</f>
        <v>🇷🇪</v>
      </c>
      <c r="U164" s="15" t="b">
        <f t="shared" si="2"/>
        <v>1</v>
      </c>
    </row>
    <row r="165" spans="1:21" ht="16" x14ac:dyDescent="0.2">
      <c r="A165" s="15">
        <v>164</v>
      </c>
      <c r="B165" s="15" t="s">
        <v>628</v>
      </c>
      <c r="C165" s="15" t="s">
        <v>621</v>
      </c>
      <c r="D165" s="16" t="s">
        <v>163</v>
      </c>
      <c r="E165" s="15" t="s">
        <v>1284</v>
      </c>
      <c r="F165" s="18">
        <v>838645</v>
      </c>
      <c r="G165" s="19">
        <v>2.3699999999999999E-2</v>
      </c>
      <c r="H165" s="20">
        <v>19447</v>
      </c>
      <c r="I165" s="15">
        <v>30</v>
      </c>
      <c r="J165" s="20">
        <v>27990</v>
      </c>
      <c r="K165" s="20">
        <v>1631</v>
      </c>
      <c r="L165" s="15">
        <v>3.46</v>
      </c>
      <c r="M165" s="15">
        <v>20.7</v>
      </c>
      <c r="N165" s="19">
        <v>0.22800000000000001</v>
      </c>
      <c r="O165" s="19">
        <v>1E-4</v>
      </c>
      <c r="R165" s="15" t="str">
        <f>VLOOKUP(D165,Сountries!V:Z,2,0)</f>
        <v>Oceania</v>
      </c>
      <c r="S165" s="15" t="str">
        <f>VLOOKUP(D165,Сountries!V:Z,3,0)</f>
        <v>Melanesia</v>
      </c>
      <c r="T165" s="15" t="str">
        <f>VLOOKUP(D165,Сountries!V:Z,5,0)</f>
        <v>🇸🇧</v>
      </c>
      <c r="U165" s="15" t="b">
        <f t="shared" si="2"/>
        <v>1</v>
      </c>
    </row>
    <row r="166" spans="1:21" ht="16" x14ac:dyDescent="0.2">
      <c r="A166" s="15">
        <v>165</v>
      </c>
      <c r="B166" s="15" t="s">
        <v>625</v>
      </c>
      <c r="C166" s="15" t="s">
        <v>617</v>
      </c>
      <c r="D166" s="16" t="s">
        <v>164</v>
      </c>
      <c r="E166" s="15" t="s">
        <v>1285</v>
      </c>
      <c r="F166" s="18">
        <v>835986</v>
      </c>
      <c r="G166" s="19">
        <v>5.8999999999999999E-3</v>
      </c>
      <c r="H166" s="20">
        <v>4899</v>
      </c>
      <c r="I166" s="15">
        <v>4</v>
      </c>
      <c r="J166" s="20">
        <v>196850</v>
      </c>
      <c r="K166" s="15" t="s">
        <v>378</v>
      </c>
      <c r="L166" s="15">
        <v>2.37</v>
      </c>
      <c r="M166" s="15">
        <v>26.2</v>
      </c>
      <c r="N166" s="19">
        <v>0.26600000000000001</v>
      </c>
      <c r="O166" s="19">
        <v>1E-4</v>
      </c>
      <c r="R166" s="15" t="str">
        <f>VLOOKUP(D166,Сountries!V:Z,2,0)</f>
        <v>America</v>
      </c>
      <c r="S166" s="15" t="str">
        <f>VLOOKUP(D166,Сountries!V:Z,3,0)</f>
        <v>South America</v>
      </c>
      <c r="T166" s="15" t="str">
        <f>VLOOKUP(D166,Сountries!V:Z,5,0)</f>
        <v>🇬🇾</v>
      </c>
      <c r="U166" s="15" t="b">
        <f t="shared" si="2"/>
        <v>1</v>
      </c>
    </row>
    <row r="167" spans="1:21" ht="16" x14ac:dyDescent="0.2">
      <c r="A167" s="15">
        <v>166</v>
      </c>
      <c r="B167" s="15" t="s">
        <v>624</v>
      </c>
      <c r="C167" s="15" t="s">
        <v>607</v>
      </c>
      <c r="D167" s="16" t="s">
        <v>165</v>
      </c>
      <c r="E167" s="15" t="s">
        <v>1286</v>
      </c>
      <c r="F167" s="18">
        <v>796682</v>
      </c>
      <c r="G167" s="19">
        <v>6.4999999999999997E-3</v>
      </c>
      <c r="H167" s="20">
        <v>5158</v>
      </c>
      <c r="I167" s="15">
        <v>21</v>
      </c>
      <c r="J167" s="20">
        <v>38117</v>
      </c>
      <c r="K167" s="15">
        <v>455</v>
      </c>
      <c r="L167" s="15">
        <v>1.44</v>
      </c>
      <c r="M167" s="15">
        <v>30.5</v>
      </c>
      <c r="N167" s="19">
        <v>0.503</v>
      </c>
      <c r="O167" s="19">
        <v>9.7E-5</v>
      </c>
      <c r="R167" s="15" t="str">
        <f>VLOOKUP(D167,Сountries!V:Z,2,0)</f>
        <v>Asia</v>
      </c>
      <c r="S167" s="15" t="str">
        <f>VLOOKUP(D167,Сountries!V:Z,3,0)</f>
        <v>Southern Asia</v>
      </c>
      <c r="T167" s="15" t="str">
        <f>VLOOKUP(D167,Сountries!V:Z,5,0)</f>
        <v>🇧🇹</v>
      </c>
      <c r="U167" s="15" t="b">
        <f t="shared" si="2"/>
        <v>1</v>
      </c>
    </row>
    <row r="168" spans="1:21" ht="16" x14ac:dyDescent="0.2">
      <c r="A168" s="15">
        <v>167</v>
      </c>
      <c r="B168" s="15" t="s">
        <v>624</v>
      </c>
      <c r="C168" s="15" t="s">
        <v>608</v>
      </c>
      <c r="D168" s="16" t="s">
        <v>379</v>
      </c>
      <c r="E168" s="15" t="s">
        <v>1339</v>
      </c>
      <c r="F168" s="18">
        <v>722007</v>
      </c>
      <c r="G168" s="19">
        <v>2.3999999999999998E-3</v>
      </c>
      <c r="H168" s="20">
        <v>1745</v>
      </c>
      <c r="I168" s="20">
        <v>24067</v>
      </c>
      <c r="J168" s="15">
        <v>30</v>
      </c>
      <c r="K168" s="15" t="s">
        <v>380</v>
      </c>
      <c r="L168" s="15">
        <v>0.69</v>
      </c>
      <c r="M168" s="15">
        <v>39.6</v>
      </c>
      <c r="N168" s="19">
        <v>0.97099999999999997</v>
      </c>
      <c r="O168" s="19">
        <v>8.7999999999999998E-5</v>
      </c>
      <c r="R168" s="15" t="str">
        <f>VLOOKUP(D168,Сountries!V:Z,2,0)</f>
        <v>Asia</v>
      </c>
      <c r="S168" s="15" t="str">
        <f>VLOOKUP(D168,Сountries!V:Z,3,0)</f>
        <v>Eastern Asia</v>
      </c>
      <c r="T168" s="15" t="str">
        <f>VLOOKUP(D168,Сountries!V:Z,5,0)</f>
        <v>🇲🇴</v>
      </c>
      <c r="U168" s="15" t="b">
        <f t="shared" si="2"/>
        <v>1</v>
      </c>
    </row>
    <row r="169" spans="1:21" ht="16" x14ac:dyDescent="0.2">
      <c r="A169" s="15">
        <v>168</v>
      </c>
      <c r="B169" s="15" t="s">
        <v>626</v>
      </c>
      <c r="C169" s="15" t="s">
        <v>614</v>
      </c>
      <c r="D169" s="16" t="s">
        <v>166</v>
      </c>
      <c r="E169" s="15" t="s">
        <v>1287</v>
      </c>
      <c r="F169" s="18">
        <v>680453</v>
      </c>
      <c r="G169" s="19">
        <v>1.0999999999999999E-2</v>
      </c>
      <c r="H169" s="20">
        <v>7417</v>
      </c>
      <c r="I169" s="15">
        <v>263</v>
      </c>
      <c r="J169" s="20">
        <v>2590</v>
      </c>
      <c r="K169" s="20">
        <v>5237</v>
      </c>
      <c r="L169" s="15">
        <v>1.4</v>
      </c>
      <c r="M169" s="15">
        <v>39.5</v>
      </c>
      <c r="N169" s="19">
        <v>0.872</v>
      </c>
      <c r="O169" s="19">
        <v>8.2999999999999998E-5</v>
      </c>
      <c r="R169" s="15" t="str">
        <f>VLOOKUP(D169,Сountries!V:Z,2,0)</f>
        <v>Europe</v>
      </c>
      <c r="S169" s="15" t="str">
        <f>VLOOKUP(D169,Сountries!V:Z,3,0)</f>
        <v>Western Europe</v>
      </c>
      <c r="T169" s="15" t="str">
        <f>VLOOKUP(D169,Сountries!V:Z,5,0)</f>
        <v>🇱🇺</v>
      </c>
      <c r="U169" s="15" t="b">
        <f t="shared" si="2"/>
        <v>1</v>
      </c>
    </row>
    <row r="170" spans="1:21" ht="16" x14ac:dyDescent="0.2">
      <c r="A170" s="15">
        <v>169</v>
      </c>
      <c r="B170" s="15" t="s">
        <v>625</v>
      </c>
      <c r="C170" s="15" t="s">
        <v>617</v>
      </c>
      <c r="D170" s="16" t="s">
        <v>167</v>
      </c>
      <c r="E170" s="15" t="s">
        <v>1288</v>
      </c>
      <c r="F170" s="18">
        <v>639850</v>
      </c>
      <c r="G170" s="19">
        <v>8.5000000000000006E-3</v>
      </c>
      <c r="H170" s="20">
        <v>5419</v>
      </c>
      <c r="I170" s="15">
        <v>4</v>
      </c>
      <c r="J170" s="20">
        <v>156000</v>
      </c>
      <c r="K170" s="15" t="s">
        <v>381</v>
      </c>
      <c r="L170" s="15">
        <v>2.21</v>
      </c>
      <c r="M170" s="15">
        <v>28.6</v>
      </c>
      <c r="N170" s="19">
        <v>0.624</v>
      </c>
      <c r="O170" s="19">
        <v>7.7999999999999999E-5</v>
      </c>
      <c r="R170" s="15" t="str">
        <f>VLOOKUP(D170,Сountries!V:Z,2,0)</f>
        <v>America</v>
      </c>
      <c r="S170" s="15" t="str">
        <f>VLOOKUP(D170,Сountries!V:Z,3,0)</f>
        <v>South America</v>
      </c>
      <c r="T170" s="15" t="str">
        <f>VLOOKUP(D170,Сountries!V:Z,5,0)</f>
        <v>🇸🇷</v>
      </c>
      <c r="U170" s="15" t="b">
        <f t="shared" si="2"/>
        <v>1</v>
      </c>
    </row>
    <row r="171" spans="1:21" ht="16" x14ac:dyDescent="0.2">
      <c r="A171" s="15">
        <v>170</v>
      </c>
      <c r="B171" s="15" t="s">
        <v>626</v>
      </c>
      <c r="C171" s="15" t="s">
        <v>616</v>
      </c>
      <c r="D171" s="16" t="s">
        <v>168</v>
      </c>
      <c r="E171" s="15" t="s">
        <v>1289</v>
      </c>
      <c r="F171" s="18">
        <v>632729</v>
      </c>
      <c r="G171" s="15" t="s">
        <v>382</v>
      </c>
      <c r="H171" s="15" t="s">
        <v>383</v>
      </c>
      <c r="I171" s="15">
        <v>47</v>
      </c>
      <c r="J171" s="20">
        <v>13450</v>
      </c>
      <c r="K171" s="15" t="s">
        <v>384</v>
      </c>
      <c r="L171" s="15">
        <v>1.79</v>
      </c>
      <c r="M171" s="15">
        <v>40</v>
      </c>
      <c r="N171" s="19">
        <v>0.68700000000000006</v>
      </c>
      <c r="O171" s="19">
        <v>7.7000000000000001E-5</v>
      </c>
      <c r="R171" s="15" t="str">
        <f>VLOOKUP(D171,Сountries!V:Z,2,0)</f>
        <v>Europe</v>
      </c>
      <c r="S171" s="15" t="str">
        <f>VLOOKUP(D171,Сountries!V:Z,3,0)</f>
        <v>Southern Europe</v>
      </c>
      <c r="T171" s="15" t="str">
        <f>VLOOKUP(D171,Сountries!V:Z,5,0)</f>
        <v>🇲🇪</v>
      </c>
      <c r="U171" s="15" t="b">
        <f t="shared" si="2"/>
        <v>1</v>
      </c>
    </row>
    <row r="172" spans="1:21" ht="16" x14ac:dyDescent="0.2">
      <c r="A172" s="15">
        <v>171</v>
      </c>
      <c r="B172" s="15" t="s">
        <v>627</v>
      </c>
      <c r="C172" s="15" t="s">
        <v>604</v>
      </c>
      <c r="D172" s="16" t="s">
        <v>385</v>
      </c>
      <c r="E172" s="15" t="s">
        <v>1340</v>
      </c>
      <c r="F172" s="18">
        <v>600904</v>
      </c>
      <c r="G172" s="19">
        <v>1.7600000000000001E-2</v>
      </c>
      <c r="H172" s="20">
        <v>10398</v>
      </c>
      <c r="I172" s="15">
        <v>2</v>
      </c>
      <c r="J172" s="20">
        <v>266000</v>
      </c>
      <c r="K172" s="20">
        <v>5030</v>
      </c>
      <c r="L172" s="15">
        <v>2.15</v>
      </c>
      <c r="M172" s="15">
        <v>32.6</v>
      </c>
      <c r="N172" s="21">
        <v>0.97</v>
      </c>
      <c r="O172" s="19">
        <v>7.2999999999999999E-5</v>
      </c>
      <c r="R172" s="15" t="str">
        <f>VLOOKUP(D172,Сountries!V:Z,2,0)</f>
        <v>Africa</v>
      </c>
      <c r="S172" s="15" t="str">
        <f>VLOOKUP(D172,Сountries!V:Z,3,0)</f>
        <v>Northern Africa</v>
      </c>
      <c r="T172" s="15" t="str">
        <f>VLOOKUP(D172,Сountries!V:Z,5,0)</f>
        <v>🇪🇭</v>
      </c>
      <c r="U172" s="15" t="b">
        <f t="shared" si="2"/>
        <v>1</v>
      </c>
    </row>
    <row r="173" spans="1:21" ht="16" x14ac:dyDescent="0.2">
      <c r="A173" s="15">
        <v>172</v>
      </c>
      <c r="B173" s="15" t="s">
        <v>626</v>
      </c>
      <c r="C173" s="15" t="s">
        <v>616</v>
      </c>
      <c r="D173" s="16" t="s">
        <v>169</v>
      </c>
      <c r="E173" s="15" t="s">
        <v>544</v>
      </c>
      <c r="F173" s="18">
        <v>545405</v>
      </c>
      <c r="G173" s="19">
        <v>1.0699999999999999E-2</v>
      </c>
      <c r="H173" s="20">
        <v>5798</v>
      </c>
      <c r="I173" s="20">
        <v>1704</v>
      </c>
      <c r="J173" s="15">
        <v>320</v>
      </c>
      <c r="K173" s="20">
        <v>5161</v>
      </c>
      <c r="L173" s="15">
        <v>1.1100000000000001</v>
      </c>
      <c r="M173" s="15">
        <v>41.1</v>
      </c>
      <c r="N173" s="19">
        <v>0.76500000000000001</v>
      </c>
      <c r="O173" s="19">
        <v>6.6000000000000005E-5</v>
      </c>
      <c r="R173" s="15" t="str">
        <f>VLOOKUP(D173,Сountries!V:Z,2,0)</f>
        <v>Europe</v>
      </c>
      <c r="S173" s="15" t="str">
        <f>VLOOKUP(D173,Сountries!V:Z,3,0)</f>
        <v>Southern Europe</v>
      </c>
      <c r="T173" s="15" t="str">
        <f>VLOOKUP(D173,Сountries!V:Z,5,0)</f>
        <v>🇲🇹</v>
      </c>
      <c r="U173" s="15" t="b">
        <f t="shared" si="2"/>
        <v>1</v>
      </c>
    </row>
    <row r="174" spans="1:21" ht="16" x14ac:dyDescent="0.2">
      <c r="A174" s="15">
        <v>173</v>
      </c>
      <c r="B174" s="15" t="s">
        <v>624</v>
      </c>
      <c r="C174" s="15" t="s">
        <v>607</v>
      </c>
      <c r="D174" s="16" t="s">
        <v>170</v>
      </c>
      <c r="E174" s="15" t="s">
        <v>545</v>
      </c>
      <c r="F174" s="18">
        <v>529676</v>
      </c>
      <c r="G174" s="19">
        <v>3.5999999999999999E-3</v>
      </c>
      <c r="H174" s="20">
        <v>1877</v>
      </c>
      <c r="I174" s="20">
        <v>1766</v>
      </c>
      <c r="J174" s="15">
        <v>300</v>
      </c>
      <c r="K174" s="15" t="s">
        <v>386</v>
      </c>
      <c r="L174" s="15">
        <v>1.55</v>
      </c>
      <c r="M174" s="15">
        <v>32.700000000000003</v>
      </c>
      <c r="N174" s="19">
        <v>0.39600000000000002</v>
      </c>
      <c r="O174" s="19">
        <v>6.3999999999999997E-5</v>
      </c>
      <c r="R174" s="15" t="str">
        <f>VLOOKUP(D174,Сountries!V:Z,2,0)</f>
        <v>Asia</v>
      </c>
      <c r="S174" s="15" t="str">
        <f>VLOOKUP(D174,Сountries!V:Z,3,0)</f>
        <v>Southern Asia</v>
      </c>
      <c r="T174" s="15" t="str">
        <f>VLOOKUP(D174,Сountries!V:Z,5,0)</f>
        <v>🇲🇻</v>
      </c>
      <c r="U174" s="15" t="b">
        <f t="shared" si="2"/>
        <v>1</v>
      </c>
    </row>
    <row r="175" spans="1:21" ht="16" x14ac:dyDescent="0.2">
      <c r="A175" s="15">
        <v>174</v>
      </c>
      <c r="B175" s="15" t="s">
        <v>627</v>
      </c>
      <c r="C175" s="15" t="s">
        <v>602</v>
      </c>
      <c r="D175" s="16" t="s">
        <v>171</v>
      </c>
      <c r="E175" s="15" t="s">
        <v>1290</v>
      </c>
      <c r="F175" s="18">
        <v>527326</v>
      </c>
      <c r="G175" s="19">
        <v>4.7000000000000002E-3</v>
      </c>
      <c r="H175" s="20">
        <v>2449</v>
      </c>
      <c r="I175" s="15">
        <v>131</v>
      </c>
      <c r="J175" s="20">
        <v>4030</v>
      </c>
      <c r="K175" s="15" t="s">
        <v>387</v>
      </c>
      <c r="L175" s="15">
        <v>1.5</v>
      </c>
      <c r="M175" s="15">
        <v>29</v>
      </c>
      <c r="N175" s="19">
        <v>0.78600000000000003</v>
      </c>
      <c r="O175" s="19">
        <v>6.3999999999999997E-5</v>
      </c>
      <c r="R175" s="15" t="str">
        <f>VLOOKUP(D175,Сountries!V:Z,2,0)</f>
        <v>Africa</v>
      </c>
      <c r="S175" s="15" t="str">
        <f>VLOOKUP(D175,Сountries!V:Z,3,0)</f>
        <v>Western Africa</v>
      </c>
      <c r="T175" s="15" t="str">
        <f>VLOOKUP(D175,Сountries!V:Z,5,0)</f>
        <v>🇨🇻</v>
      </c>
      <c r="U175" s="15" t="b">
        <f t="shared" si="2"/>
        <v>1</v>
      </c>
    </row>
    <row r="176" spans="1:21" ht="16" x14ac:dyDescent="0.2">
      <c r="A176" s="15">
        <v>175</v>
      </c>
      <c r="B176" s="15" t="s">
        <v>628</v>
      </c>
      <c r="C176" s="15" t="s">
        <v>612</v>
      </c>
      <c r="D176" s="16" t="s">
        <v>172</v>
      </c>
      <c r="E176" s="15" t="s">
        <v>1291</v>
      </c>
      <c r="F176" s="18">
        <v>466330</v>
      </c>
      <c r="G176" s="19">
        <v>7.7999999999999996E-3</v>
      </c>
      <c r="H176" s="20">
        <v>3609</v>
      </c>
      <c r="I176" s="15">
        <v>88</v>
      </c>
      <c r="J176" s="20">
        <v>5270</v>
      </c>
      <c r="K176" s="15">
        <v>0</v>
      </c>
      <c r="L176" s="15">
        <v>1.71</v>
      </c>
      <c r="M176" s="15">
        <v>32.700000000000003</v>
      </c>
      <c r="N176" s="19">
        <v>0.80100000000000005</v>
      </c>
      <c r="O176" s="19">
        <v>5.7000000000000003E-5</v>
      </c>
      <c r="R176" s="15" t="str">
        <f>VLOOKUP(D176,Сountries!V:Z,2,0)</f>
        <v>Oceania</v>
      </c>
      <c r="S176" s="15" t="str">
        <f>VLOOKUP(D176,Сountries!V:Z,3,0)</f>
        <v>South-Eastern Asi</v>
      </c>
      <c r="T176" s="15" t="str">
        <f>VLOOKUP(D176,Сountries!V:Z,5,0)</f>
        <v>🇧🇳</v>
      </c>
      <c r="U176" s="15" t="b">
        <f t="shared" si="2"/>
        <v>1</v>
      </c>
    </row>
    <row r="177" spans="1:21" ht="16" x14ac:dyDescent="0.2">
      <c r="A177" s="15">
        <v>176</v>
      </c>
      <c r="B177" s="15" t="s">
        <v>625</v>
      </c>
      <c r="C177" s="15" t="s">
        <v>618</v>
      </c>
      <c r="D177" s="16" t="s">
        <v>173</v>
      </c>
      <c r="E177" s="15" t="s">
        <v>1292</v>
      </c>
      <c r="F177" s="18">
        <v>422924</v>
      </c>
      <c r="G177" s="19">
        <v>1.4E-2</v>
      </c>
      <c r="H177" s="20">
        <v>5852</v>
      </c>
      <c r="I177" s="15">
        <v>19</v>
      </c>
      <c r="J177" s="20">
        <v>22810</v>
      </c>
      <c r="K177" s="15">
        <v>360</v>
      </c>
      <c r="L177" s="15">
        <v>2.0099999999999998</v>
      </c>
      <c r="M177" s="15">
        <v>26.9</v>
      </c>
      <c r="N177" s="19">
        <v>0.48599999999999999</v>
      </c>
      <c r="O177" s="19">
        <v>5.1E-5</v>
      </c>
      <c r="R177" s="15" t="str">
        <f>VLOOKUP(D177,Сountries!V:Z,2,0)</f>
        <v>America</v>
      </c>
      <c r="S177" s="15" t="str">
        <f>VLOOKUP(D177,Сountries!V:Z,3,0)</f>
        <v>Central America</v>
      </c>
      <c r="T177" s="15" t="str">
        <f>VLOOKUP(D177,Сountries!V:Z,5,0)</f>
        <v>🇧🇿</v>
      </c>
      <c r="U177" s="15" t="b">
        <f t="shared" si="2"/>
        <v>1</v>
      </c>
    </row>
    <row r="178" spans="1:21" ht="16" x14ac:dyDescent="0.2">
      <c r="A178" s="15">
        <v>177</v>
      </c>
      <c r="B178" s="15" t="s">
        <v>628</v>
      </c>
      <c r="C178" s="15" t="s">
        <v>619</v>
      </c>
      <c r="D178" s="16" t="s">
        <v>174</v>
      </c>
      <c r="E178" s="15" t="s">
        <v>1293</v>
      </c>
      <c r="F178" s="18">
        <v>403033</v>
      </c>
      <c r="G178" s="19">
        <v>4.4000000000000003E-3</v>
      </c>
      <c r="H178" s="20">
        <v>1750</v>
      </c>
      <c r="I178" s="15">
        <v>40</v>
      </c>
      <c r="J178" s="20">
        <v>10010</v>
      </c>
      <c r="K178" s="15">
        <v>935</v>
      </c>
      <c r="L178" s="15">
        <v>1.36</v>
      </c>
      <c r="M178" s="15">
        <v>35.299999999999997</v>
      </c>
      <c r="N178" s="19">
        <v>0.88400000000000001</v>
      </c>
      <c r="O178" s="19">
        <v>4.8999999999999998E-5</v>
      </c>
      <c r="R178" s="15" t="str">
        <f>VLOOKUP(D178,Сountries!V:Z,2,0)</f>
        <v>Oceania</v>
      </c>
      <c r="S178" s="15" t="str">
        <f>VLOOKUP(D178,Сountries!V:Z,3,0)</f>
        <v>Caribbean</v>
      </c>
      <c r="T178" s="15" t="str">
        <f>VLOOKUP(D178,Сountries!V:Z,5,0)</f>
        <v>🇧🇸</v>
      </c>
      <c r="U178" s="15" t="b">
        <f t="shared" si="2"/>
        <v>1</v>
      </c>
    </row>
    <row r="179" spans="1:21" ht="16" x14ac:dyDescent="0.2">
      <c r="A179" s="15">
        <v>178</v>
      </c>
      <c r="B179" s="15" t="s">
        <v>626</v>
      </c>
      <c r="C179" s="15" t="s">
        <v>615</v>
      </c>
      <c r="D179" s="16" t="s">
        <v>175</v>
      </c>
      <c r="E179" s="15" t="s">
        <v>1294</v>
      </c>
      <c r="F179" s="18">
        <v>398266</v>
      </c>
      <c r="G179" s="19">
        <v>1.24E-2</v>
      </c>
      <c r="H179" s="20">
        <v>4870</v>
      </c>
      <c r="I179" s="15">
        <v>4</v>
      </c>
      <c r="J179" s="20">
        <v>100250</v>
      </c>
      <c r="K179" s="20">
        <v>2709</v>
      </c>
      <c r="L179" s="15">
        <v>1.5</v>
      </c>
      <c r="M179" s="15">
        <v>36.200000000000003</v>
      </c>
      <c r="N179" s="21">
        <v>0.84</v>
      </c>
      <c r="O179" s="19">
        <v>4.8000000000000001E-5</v>
      </c>
      <c r="R179" s="15" t="str">
        <f>VLOOKUP(D179,Сountries!V:Z,2,0)</f>
        <v>Europe</v>
      </c>
      <c r="S179" s="15" t="str">
        <f>VLOOKUP(D179,Сountries!V:Z,3,0)</f>
        <v>Northern Europe</v>
      </c>
      <c r="T179" s="15" t="str">
        <f>VLOOKUP(D179,Сountries!V:Z,5,0)</f>
        <v>🇮🇸</v>
      </c>
      <c r="U179" s="15" t="b">
        <f t="shared" si="2"/>
        <v>1</v>
      </c>
    </row>
    <row r="180" spans="1:21" ht="16" x14ac:dyDescent="0.2">
      <c r="A180" s="15">
        <v>179</v>
      </c>
      <c r="B180" s="15" t="s">
        <v>625</v>
      </c>
      <c r="C180" s="15" t="s">
        <v>1362</v>
      </c>
      <c r="D180" s="16" t="s">
        <v>388</v>
      </c>
      <c r="E180" s="15" t="s">
        <v>1341</v>
      </c>
      <c r="F180" s="18">
        <v>373791</v>
      </c>
      <c r="G180" s="15" t="s">
        <v>389</v>
      </c>
      <c r="H180" s="15" t="s">
        <v>390</v>
      </c>
      <c r="I180" s="15">
        <v>221</v>
      </c>
      <c r="J180" s="20">
        <v>1690</v>
      </c>
      <c r="K180" s="15" t="s">
        <v>391</v>
      </c>
      <c r="L180" s="15">
        <v>2.0499999999999998</v>
      </c>
      <c r="M180" s="15">
        <v>47.2</v>
      </c>
      <c r="O180" s="19">
        <v>4.5000000000000003E-5</v>
      </c>
      <c r="R180" s="15" t="str">
        <f>VLOOKUP(D180,Сountries!V:Z,2,0)</f>
        <v>America</v>
      </c>
      <c r="S180" s="15" t="str">
        <f>VLOOKUP(D180,Сountries!V:Z,3,0)</f>
        <v>Latin America</v>
      </c>
      <c r="T180" s="15" t="str">
        <f>VLOOKUP(D180,Сountries!V:Z,5,0)</f>
        <v>🇬🇵</v>
      </c>
      <c r="U180" s="15" t="b">
        <f t="shared" si="2"/>
        <v>1</v>
      </c>
    </row>
    <row r="181" spans="1:21" ht="16" x14ac:dyDescent="0.2">
      <c r="A181" s="15">
        <v>180</v>
      </c>
      <c r="B181" s="15" t="s">
        <v>625</v>
      </c>
      <c r="C181" s="15" t="s">
        <v>1362</v>
      </c>
      <c r="D181" s="16" t="s">
        <v>392</v>
      </c>
      <c r="E181" s="15" t="s">
        <v>1359</v>
      </c>
      <c r="F181" s="18">
        <v>340439</v>
      </c>
      <c r="G181" s="15" t="s">
        <v>393</v>
      </c>
      <c r="H181" s="15" t="s">
        <v>394</v>
      </c>
      <c r="I181" s="15">
        <v>321</v>
      </c>
      <c r="J181" s="20">
        <v>1060</v>
      </c>
      <c r="K181" s="15" t="s">
        <v>395</v>
      </c>
      <c r="L181" s="15">
        <v>1.97</v>
      </c>
      <c r="M181" s="15">
        <v>49.7</v>
      </c>
      <c r="O181" s="19">
        <v>4.1E-5</v>
      </c>
      <c r="R181" s="15" t="str">
        <f>VLOOKUP(D181,Сountries!V:Z,2,0)</f>
        <v>America</v>
      </c>
      <c r="S181" s="15" t="str">
        <f>VLOOKUP(D181,Сountries!V:Z,3,0)</f>
        <v>Latin America</v>
      </c>
      <c r="T181" s="15" t="str">
        <f>VLOOKUP(D181,Сountries!V:Z,5,0)</f>
        <v>🇲🇶</v>
      </c>
      <c r="U181" s="15" t="b">
        <f t="shared" si="2"/>
        <v>1</v>
      </c>
    </row>
    <row r="182" spans="1:21" ht="16" x14ac:dyDescent="0.2">
      <c r="A182" s="15">
        <v>181</v>
      </c>
      <c r="B182" s="15" t="s">
        <v>627</v>
      </c>
      <c r="C182" s="15" t="s">
        <v>603</v>
      </c>
      <c r="D182" s="16" t="s">
        <v>396</v>
      </c>
      <c r="E182" s="15" t="s">
        <v>1363</v>
      </c>
      <c r="F182" s="18">
        <v>337011</v>
      </c>
      <c r="G182" s="19">
        <v>3.2199999999999999E-2</v>
      </c>
      <c r="H182" s="20">
        <v>10506</v>
      </c>
      <c r="I182" s="15">
        <v>899</v>
      </c>
      <c r="J182" s="15">
        <v>375</v>
      </c>
      <c r="K182" s="15">
        <v>44</v>
      </c>
      <c r="L182" s="15">
        <v>4.5</v>
      </c>
      <c r="M182" s="15">
        <v>17.100000000000001</v>
      </c>
      <c r="N182" s="19">
        <v>0.41399999999999998</v>
      </c>
      <c r="O182" s="19">
        <v>4.1E-5</v>
      </c>
      <c r="R182" s="15" t="str">
        <f>VLOOKUP(D182,Сountries!V:Z,2,0)</f>
        <v>Africa</v>
      </c>
      <c r="S182" s="15" t="str">
        <f>VLOOKUP(D182,Сountries!V:Z,3,0)</f>
        <v>Eastern Africa</v>
      </c>
      <c r="T182" s="15" t="str">
        <f>VLOOKUP(D182,Сountries!V:Z,5,0)</f>
        <v>🇾🇹</v>
      </c>
      <c r="U182" s="15" t="b">
        <f t="shared" si="2"/>
        <v>1</v>
      </c>
    </row>
    <row r="183" spans="1:21" ht="16" x14ac:dyDescent="0.2">
      <c r="A183" s="15">
        <v>182</v>
      </c>
      <c r="B183" s="15" t="s">
        <v>628</v>
      </c>
      <c r="C183" s="15" t="s">
        <v>621</v>
      </c>
      <c r="D183" s="16" t="s">
        <v>176</v>
      </c>
      <c r="E183" s="15" t="s">
        <v>1295</v>
      </c>
      <c r="F183" s="18">
        <v>335169</v>
      </c>
      <c r="G183" s="19">
        <v>2.2599999999999999E-2</v>
      </c>
      <c r="H183" s="20">
        <v>7392</v>
      </c>
      <c r="I183" s="15">
        <v>27</v>
      </c>
      <c r="J183" s="20">
        <v>12190</v>
      </c>
      <c r="K183" s="15" t="s">
        <v>397</v>
      </c>
      <c r="L183" s="15">
        <v>3.53</v>
      </c>
      <c r="M183" s="15">
        <v>20.3</v>
      </c>
      <c r="N183" s="19">
        <v>0.254</v>
      </c>
      <c r="O183" s="19">
        <v>4.1E-5</v>
      </c>
      <c r="R183" s="15" t="str">
        <f>VLOOKUP(D183,Сountries!V:Z,2,0)</f>
        <v>Oceania</v>
      </c>
      <c r="S183" s="15" t="str">
        <f>VLOOKUP(D183,Сountries!V:Z,3,0)</f>
        <v>Melanesia</v>
      </c>
      <c r="T183" s="15" t="str">
        <f>VLOOKUP(D183,Сountries!V:Z,5,0)</f>
        <v>🇻🇺</v>
      </c>
      <c r="U183" s="15" t="b">
        <f t="shared" si="2"/>
        <v>1</v>
      </c>
    </row>
    <row r="184" spans="1:21" ht="16" x14ac:dyDescent="0.2">
      <c r="A184" s="15">
        <v>183</v>
      </c>
      <c r="B184" s="15" t="s">
        <v>625</v>
      </c>
      <c r="C184" s="15" t="s">
        <v>617</v>
      </c>
      <c r="D184" s="16" t="s">
        <v>398</v>
      </c>
      <c r="E184" s="15" t="s">
        <v>573</v>
      </c>
      <c r="F184" s="18">
        <v>313666</v>
      </c>
      <c r="G184" s="19">
        <v>1.67E-2</v>
      </c>
      <c r="H184" s="20">
        <v>5144</v>
      </c>
      <c r="I184" s="15">
        <v>4</v>
      </c>
      <c r="J184" s="20">
        <v>82200</v>
      </c>
      <c r="K184" s="15" t="s">
        <v>399</v>
      </c>
      <c r="L184" s="15">
        <v>3.29</v>
      </c>
      <c r="M184" s="15">
        <v>25</v>
      </c>
      <c r="N184" s="19">
        <v>0.94499999999999995</v>
      </c>
      <c r="O184" s="19">
        <v>3.8000000000000002E-5</v>
      </c>
      <c r="R184" s="15" t="str">
        <f>VLOOKUP(D184,Сountries!V:Z,2,0)</f>
        <v>America</v>
      </c>
      <c r="S184" s="15" t="str">
        <f>VLOOKUP(D184,Сountries!V:Z,3,0)</f>
        <v>South America</v>
      </c>
      <c r="T184" s="15" t="str">
        <f>VLOOKUP(D184,Сountries!V:Z,5,0)</f>
        <v>🇬🇫</v>
      </c>
      <c r="U184" s="15" t="b">
        <f t="shared" si="2"/>
        <v>1</v>
      </c>
    </row>
    <row r="185" spans="1:21" ht="16" x14ac:dyDescent="0.2">
      <c r="A185" s="15">
        <v>184</v>
      </c>
      <c r="B185" s="15" t="s">
        <v>628</v>
      </c>
      <c r="C185" s="15" t="s">
        <v>400</v>
      </c>
      <c r="D185" s="16" t="s">
        <v>400</v>
      </c>
      <c r="E185" s="15" t="s">
        <v>1353</v>
      </c>
      <c r="F185" s="18">
        <v>295333</v>
      </c>
      <c r="G185" s="19">
        <v>9.1999999999999998E-3</v>
      </c>
      <c r="H185" s="20">
        <v>2694</v>
      </c>
      <c r="I185" s="15">
        <v>16</v>
      </c>
      <c r="J185" s="20">
        <v>18280</v>
      </c>
      <c r="K185" s="15">
        <v>440</v>
      </c>
      <c r="L185" s="15">
        <v>1.95</v>
      </c>
      <c r="M185" s="15">
        <v>34.5</v>
      </c>
      <c r="N185" s="19">
        <v>0.75700000000000001</v>
      </c>
      <c r="O185" s="19">
        <v>3.6000000000000001E-5</v>
      </c>
      <c r="R185" s="15" t="str">
        <f>VLOOKUP(D185,Сountries!V:Z,2,0)</f>
        <v>Oceania</v>
      </c>
      <c r="S185" s="15" t="str">
        <f>VLOOKUP(D185,Сountries!V:Z,3,0)</f>
        <v>New Caledonia</v>
      </c>
      <c r="T185" s="15" t="str">
        <f>VLOOKUP(D185,Сountries!V:Z,5,0)</f>
        <v>🇳🇨</v>
      </c>
      <c r="U185" s="15" t="b">
        <f t="shared" si="2"/>
        <v>1</v>
      </c>
    </row>
    <row r="186" spans="1:21" ht="16" x14ac:dyDescent="0.2">
      <c r="A186" s="15">
        <v>185</v>
      </c>
      <c r="B186" s="15" t="s">
        <v>628</v>
      </c>
      <c r="C186" s="15" t="s">
        <v>619</v>
      </c>
      <c r="D186" s="16" t="s">
        <v>177</v>
      </c>
      <c r="E186" s="15" t="s">
        <v>1296</v>
      </c>
      <c r="F186" s="18">
        <v>282623</v>
      </c>
      <c r="G186" s="19">
        <v>5.9999999999999995E-4</v>
      </c>
      <c r="H186" s="15">
        <v>156</v>
      </c>
      <c r="I186" s="15">
        <v>657</v>
      </c>
      <c r="J186" s="15">
        <v>430</v>
      </c>
      <c r="K186" s="15" t="s">
        <v>401</v>
      </c>
      <c r="L186" s="15">
        <v>1.71</v>
      </c>
      <c r="M186" s="15">
        <v>39.4</v>
      </c>
      <c r="N186" s="19">
        <v>0.32500000000000001</v>
      </c>
      <c r="O186" s="19">
        <v>3.4E-5</v>
      </c>
      <c r="R186" s="15" t="str">
        <f>VLOOKUP(D186,Сountries!V:Z,2,0)</f>
        <v>Oceania</v>
      </c>
      <c r="S186" s="15" t="str">
        <f>VLOOKUP(D186,Сountries!V:Z,3,0)</f>
        <v>Caribbean</v>
      </c>
      <c r="T186" s="15" t="str">
        <f>VLOOKUP(D186,Сountries!V:Z,5,0)</f>
        <v>🇧🇧</v>
      </c>
      <c r="U186" s="15" t="b">
        <f t="shared" si="2"/>
        <v>1</v>
      </c>
    </row>
    <row r="187" spans="1:21" ht="16" x14ac:dyDescent="0.2">
      <c r="A187" s="15">
        <v>186</v>
      </c>
      <c r="B187" s="15" t="s">
        <v>628</v>
      </c>
      <c r="C187" s="15" t="s">
        <v>628</v>
      </c>
      <c r="D187" s="16" t="s">
        <v>402</v>
      </c>
      <c r="E187" s="15" t="s">
        <v>1355</v>
      </c>
      <c r="F187" s="18">
        <v>282465</v>
      </c>
      <c r="G187" s="19">
        <v>2.3E-3</v>
      </c>
      <c r="H187" s="15">
        <v>658</v>
      </c>
      <c r="I187" s="15">
        <v>77</v>
      </c>
      <c r="J187" s="20">
        <v>3660</v>
      </c>
      <c r="K187" s="15" t="s">
        <v>403</v>
      </c>
      <c r="L187" s="15">
        <v>1.48</v>
      </c>
      <c r="M187" s="15">
        <v>36.1</v>
      </c>
      <c r="N187" s="19">
        <v>0.65900000000000003</v>
      </c>
      <c r="O187" s="19">
        <v>3.4E-5</v>
      </c>
      <c r="R187" s="15" t="str">
        <f>VLOOKUP(D187,Сountries!V:Z,2,0)</f>
        <v>Oceania</v>
      </c>
      <c r="S187" s="15" t="str">
        <f>VLOOKUP(D187,Сountries!V:Z,3,0)</f>
        <v>Oceania</v>
      </c>
      <c r="T187" s="15" t="str">
        <f>VLOOKUP(D187,Сountries!V:Z,5,0)</f>
        <v>🇵🇫</v>
      </c>
      <c r="U187" s="15" t="b">
        <f t="shared" si="2"/>
        <v>1</v>
      </c>
    </row>
    <row r="188" spans="1:21" ht="16" x14ac:dyDescent="0.2">
      <c r="A188" s="15">
        <v>187</v>
      </c>
      <c r="B188" s="15" t="s">
        <v>627</v>
      </c>
      <c r="C188" s="15" t="s">
        <v>605</v>
      </c>
      <c r="D188" s="16" t="s">
        <v>178</v>
      </c>
      <c r="E188" s="15" t="s">
        <v>1297</v>
      </c>
      <c r="F188" s="18">
        <v>240254</v>
      </c>
      <c r="G188" s="21">
        <v>0.02</v>
      </c>
      <c r="H188" s="20">
        <v>4718</v>
      </c>
      <c r="I188" s="15">
        <v>250</v>
      </c>
      <c r="J188" s="15">
        <v>960</v>
      </c>
      <c r="K188" s="15" t="s">
        <v>404</v>
      </c>
      <c r="L188" s="15">
        <v>3.53</v>
      </c>
      <c r="M188" s="15">
        <v>19.5</v>
      </c>
      <c r="N188" s="19">
        <v>0.78200000000000003</v>
      </c>
      <c r="O188" s="19">
        <v>2.9E-5</v>
      </c>
      <c r="R188" s="15" t="str">
        <f>VLOOKUP(D188,Сountries!V:Z,2,0)</f>
        <v>Africa</v>
      </c>
      <c r="S188" s="15" t="str">
        <f>VLOOKUP(D188,Сountries!V:Z,3,0)</f>
        <v>Middle Africa</v>
      </c>
      <c r="T188" s="15" t="str">
        <f>VLOOKUP(D188,Сountries!V:Z,5,0)</f>
        <v>🇸🇹</v>
      </c>
      <c r="U188" s="15" t="b">
        <f t="shared" si="2"/>
        <v>1</v>
      </c>
    </row>
    <row r="189" spans="1:21" ht="16" x14ac:dyDescent="0.2">
      <c r="A189" s="15">
        <v>188</v>
      </c>
      <c r="B189" s="15" t="s">
        <v>628</v>
      </c>
      <c r="C189" s="15" t="s">
        <v>622</v>
      </c>
      <c r="D189" s="16" t="s">
        <v>179</v>
      </c>
      <c r="E189" s="15" t="s">
        <v>1298</v>
      </c>
      <c r="F189" s="18">
        <v>219306</v>
      </c>
      <c r="G189" s="19">
        <v>5.8999999999999999E-3</v>
      </c>
      <c r="H189" s="20">
        <v>1287</v>
      </c>
      <c r="I189" s="15">
        <v>77</v>
      </c>
      <c r="J189" s="20">
        <v>2830</v>
      </c>
      <c r="K189" s="15" t="s">
        <v>405</v>
      </c>
      <c r="L189" s="15">
        <v>3.75</v>
      </c>
      <c r="M189" s="15">
        <v>19.8</v>
      </c>
      <c r="N189" s="19">
        <v>0.16300000000000001</v>
      </c>
      <c r="O189" s="19">
        <v>2.6999999999999999E-5</v>
      </c>
      <c r="R189" s="15" t="str">
        <f>VLOOKUP(D189,Сountries!V:Z,2,0)</f>
        <v>Oceania</v>
      </c>
      <c r="S189" s="15" t="str">
        <f>VLOOKUP(D189,Сountries!V:Z,3,0)</f>
        <v>Polynesia</v>
      </c>
      <c r="T189" s="15" t="str">
        <f>VLOOKUP(D189,Сountries!V:Z,5,0)</f>
        <v>🇼🇸</v>
      </c>
      <c r="U189" s="15" t="b">
        <f t="shared" si="2"/>
        <v>1</v>
      </c>
    </row>
    <row r="190" spans="1:21" ht="16" x14ac:dyDescent="0.2">
      <c r="A190" s="15">
        <v>189</v>
      </c>
      <c r="B190" s="15" t="s">
        <v>625</v>
      </c>
      <c r="C190" s="15" t="s">
        <v>1362</v>
      </c>
      <c r="D190" s="16" t="s">
        <v>406</v>
      </c>
      <c r="E190" s="15" t="s">
        <v>1364</v>
      </c>
      <c r="F190" s="18">
        <v>185487</v>
      </c>
      <c r="G190" s="21">
        <v>0</v>
      </c>
      <c r="H190" s="15">
        <v>5</v>
      </c>
      <c r="I190" s="15">
        <v>418</v>
      </c>
      <c r="J190" s="15">
        <v>444</v>
      </c>
      <c r="K190" s="15">
        <v>470</v>
      </c>
      <c r="L190" s="15">
        <v>1.07</v>
      </c>
      <c r="M190" s="15">
        <v>38.700000000000003</v>
      </c>
      <c r="N190" s="19">
        <v>0.80800000000000005</v>
      </c>
      <c r="O190" s="19">
        <v>2.3E-5</v>
      </c>
      <c r="R190" s="15" t="str">
        <f>VLOOKUP(D190,Сountries!V:Z,2,0)</f>
        <v>America</v>
      </c>
      <c r="S190" s="15" t="str">
        <f>VLOOKUP(D190,Сountries!V:Z,3,0)</f>
        <v>Latin America</v>
      </c>
      <c r="T190" s="15" t="str">
        <f>VLOOKUP(D190,Сountries!V:Z,5,0)</f>
        <v>🇨🇼</v>
      </c>
      <c r="U190" s="15" t="b">
        <f t="shared" si="2"/>
        <v>1</v>
      </c>
    </row>
    <row r="191" spans="1:21" ht="16" x14ac:dyDescent="0.2">
      <c r="A191" s="15">
        <v>190</v>
      </c>
      <c r="B191" s="15" t="s">
        <v>625</v>
      </c>
      <c r="C191" s="15" t="s">
        <v>1362</v>
      </c>
      <c r="D191" s="16" t="s">
        <v>180</v>
      </c>
      <c r="E191" s="15" t="s">
        <v>1299</v>
      </c>
      <c r="F191" s="18">
        <v>180149</v>
      </c>
      <c r="G191" s="19">
        <v>2.3E-3</v>
      </c>
      <c r="H191" s="15">
        <v>405</v>
      </c>
      <c r="I191" s="15">
        <v>295</v>
      </c>
      <c r="J191" s="15">
        <v>610</v>
      </c>
      <c r="K191" s="15" t="s">
        <v>407</v>
      </c>
      <c r="L191" s="15">
        <v>1.38</v>
      </c>
      <c r="M191" s="15">
        <v>34.6</v>
      </c>
      <c r="N191" s="19">
        <v>0.19900000000000001</v>
      </c>
      <c r="O191" s="19">
        <v>2.1999999999999999E-5</v>
      </c>
      <c r="R191" s="15" t="str">
        <f>VLOOKUP(D191,Сountries!V:Z,2,0)</f>
        <v>America</v>
      </c>
      <c r="S191" s="15" t="str">
        <f>VLOOKUP(D191,Сountries!V:Z,3,0)</f>
        <v>Latin America</v>
      </c>
      <c r="T191" s="15" t="str">
        <f>VLOOKUP(D191,Сountries!V:Z,5,0)</f>
        <v>🇱🇨</v>
      </c>
      <c r="U191" s="15" t="b">
        <f t="shared" si="2"/>
        <v>1</v>
      </c>
    </row>
    <row r="192" spans="1:21" ht="16" x14ac:dyDescent="0.2">
      <c r="A192" s="15">
        <v>191</v>
      </c>
      <c r="B192" s="15" t="s">
        <v>628</v>
      </c>
      <c r="C192" s="15" t="s">
        <v>628</v>
      </c>
      <c r="D192" s="16" t="s">
        <v>408</v>
      </c>
      <c r="E192" s="15" t="s">
        <v>1365</v>
      </c>
      <c r="F192" s="18">
        <v>168999</v>
      </c>
      <c r="G192" s="19">
        <v>7.3000000000000001E-3</v>
      </c>
      <c r="H192" s="20">
        <v>1222</v>
      </c>
      <c r="I192" s="15">
        <v>313</v>
      </c>
      <c r="J192" s="15">
        <v>540</v>
      </c>
      <c r="K192" s="15" t="s">
        <v>409</v>
      </c>
      <c r="L192" s="15">
        <v>2.71</v>
      </c>
      <c r="M192" s="15">
        <v>31.5</v>
      </c>
      <c r="N192" s="19">
        <v>0.98799999999999999</v>
      </c>
      <c r="O192" s="19">
        <v>2.0999999999999999E-5</v>
      </c>
      <c r="R192" s="15" t="str">
        <f>VLOOKUP(D192,Сountries!V:Z,2,0)</f>
        <v>Oceania</v>
      </c>
      <c r="S192" s="15" t="str">
        <f>VLOOKUP(D192,Сountries!V:Z,3,0)</f>
        <v>Oceania</v>
      </c>
      <c r="T192" s="15" t="str">
        <f>VLOOKUP(D192,Сountries!V:Z,5,0)</f>
        <v>🇬🇺</v>
      </c>
      <c r="U192" s="15" t="b">
        <f t="shared" si="2"/>
        <v>1</v>
      </c>
    </row>
    <row r="193" spans="1:21" ht="16" x14ac:dyDescent="0.2">
      <c r="A193" s="15">
        <v>192</v>
      </c>
      <c r="B193" s="15" t="s">
        <v>628</v>
      </c>
      <c r="C193" s="15" t="s">
        <v>184</v>
      </c>
      <c r="D193" s="16" t="s">
        <v>181</v>
      </c>
      <c r="E193" s="15" t="s">
        <v>1300</v>
      </c>
      <c r="F193" s="18">
        <v>136488</v>
      </c>
      <c r="G193" s="19">
        <v>1.46E-2</v>
      </c>
      <c r="H193" s="20">
        <v>1970</v>
      </c>
      <c r="I193" s="15">
        <v>169</v>
      </c>
      <c r="J193" s="15">
        <v>810</v>
      </c>
      <c r="K193" s="15" t="s">
        <v>410</v>
      </c>
      <c r="L193" s="15">
        <v>3.09</v>
      </c>
      <c r="M193" s="15">
        <v>22.9</v>
      </c>
      <c r="N193" s="19">
        <v>0.57299999999999995</v>
      </c>
      <c r="O193" s="19">
        <v>1.7E-5</v>
      </c>
      <c r="R193" s="15" t="str">
        <f>VLOOKUP(D193,Сountries!V:Z,2,0)</f>
        <v>Oceania</v>
      </c>
      <c r="S193" s="15" t="str">
        <f>VLOOKUP(D193,Сountries!V:Z,3,0)</f>
        <v>Micronesia</v>
      </c>
      <c r="T193" s="15" t="str">
        <f>VLOOKUP(D193,Сountries!V:Z,5,0)</f>
        <v>🇰🇮</v>
      </c>
      <c r="U193" s="15" t="b">
        <f t="shared" si="2"/>
        <v>1</v>
      </c>
    </row>
    <row r="194" spans="1:21" ht="16" x14ac:dyDescent="0.2">
      <c r="A194" s="15">
        <v>193</v>
      </c>
      <c r="B194" s="15" t="s">
        <v>627</v>
      </c>
      <c r="C194" s="15" t="s">
        <v>603</v>
      </c>
      <c r="D194" s="16" t="s">
        <v>182</v>
      </c>
      <c r="E194" s="15" t="s">
        <v>1301</v>
      </c>
      <c r="F194" s="18">
        <v>132779</v>
      </c>
      <c r="G194" s="19">
        <v>1.8100000000000002E-2</v>
      </c>
      <c r="H194" s="20">
        <v>2361</v>
      </c>
      <c r="I194" s="15">
        <v>289</v>
      </c>
      <c r="J194" s="15">
        <v>460</v>
      </c>
      <c r="K194" s="20">
        <v>1590</v>
      </c>
      <c r="L194" s="15">
        <v>2.08</v>
      </c>
      <c r="M194" s="15">
        <v>34.299999999999997</v>
      </c>
      <c r="N194" s="19">
        <v>0.438</v>
      </c>
      <c r="O194" s="19">
        <v>1.5999999999999999E-5</v>
      </c>
      <c r="R194" s="15" t="str">
        <f>VLOOKUP(D194,Сountries!V:Z,2,0)</f>
        <v>Africa</v>
      </c>
      <c r="S194" s="15" t="str">
        <f>VLOOKUP(D194,Сountries!V:Z,3,0)</f>
        <v>Eastern Africa</v>
      </c>
      <c r="T194" s="15" t="str">
        <f>VLOOKUP(D194,Сountries!V:Z,5,0)</f>
        <v>🇸🇨</v>
      </c>
      <c r="U194" s="15" t="b">
        <f t="shared" si="2"/>
        <v>1</v>
      </c>
    </row>
    <row r="195" spans="1:21" ht="16" x14ac:dyDescent="0.2">
      <c r="A195" s="15">
        <v>194</v>
      </c>
      <c r="B195" s="15" t="s">
        <v>628</v>
      </c>
      <c r="C195" s="15" t="s">
        <v>619</v>
      </c>
      <c r="D195" s="16" t="s">
        <v>183</v>
      </c>
      <c r="E195" s="15" t="s">
        <v>1302</v>
      </c>
      <c r="F195" s="18">
        <v>117303</v>
      </c>
      <c r="G195" s="19">
        <v>8.0000000000000004E-4</v>
      </c>
      <c r="H195" s="15">
        <v>96</v>
      </c>
      <c r="I195" s="15">
        <v>345</v>
      </c>
      <c r="J195" s="15">
        <v>340</v>
      </c>
      <c r="K195" s="15" t="s">
        <v>411</v>
      </c>
      <c r="L195" s="15">
        <v>1.46</v>
      </c>
      <c r="M195" s="15">
        <v>34.4</v>
      </c>
      <c r="N195" s="19">
        <v>0.35499999999999998</v>
      </c>
      <c r="O195" s="19">
        <v>1.4E-5</v>
      </c>
      <c r="R195" s="15" t="str">
        <f>VLOOKUP(D195,Сountries!V:Z,2,0)</f>
        <v>Oceania</v>
      </c>
      <c r="S195" s="15" t="str">
        <f>VLOOKUP(D195,Сountries!V:Z,3,0)</f>
        <v>Caribbean</v>
      </c>
      <c r="T195" s="15" t="str">
        <f>VLOOKUP(D195,Сountries!V:Z,5,0)</f>
        <v>🇬🇩</v>
      </c>
      <c r="U195" s="15" t="b">
        <f t="shared" ref="U195:U234" si="3">E195=T195</f>
        <v>1</v>
      </c>
    </row>
    <row r="196" spans="1:21" ht="16" x14ac:dyDescent="0.2">
      <c r="A196" s="15">
        <v>195</v>
      </c>
      <c r="B196" s="15" t="s">
        <v>628</v>
      </c>
      <c r="C196" s="15" t="s">
        <v>184</v>
      </c>
      <c r="D196" s="16" t="s">
        <v>184</v>
      </c>
      <c r="E196" s="15" t="s">
        <v>1303</v>
      </c>
      <c r="F196" s="18">
        <v>113683</v>
      </c>
      <c r="G196" s="19">
        <v>4.5999999999999999E-3</v>
      </c>
      <c r="H196" s="15">
        <v>523</v>
      </c>
      <c r="I196" s="15">
        <v>162</v>
      </c>
      <c r="J196" s="15">
        <v>700</v>
      </c>
      <c r="K196" s="15" t="s">
        <v>412</v>
      </c>
      <c r="L196" s="15">
        <v>2.71</v>
      </c>
      <c r="M196" s="15">
        <v>23.3</v>
      </c>
      <c r="N196" s="19">
        <v>0.23499999999999999</v>
      </c>
      <c r="O196" s="19">
        <v>1.4E-5</v>
      </c>
      <c r="R196" s="15" t="str">
        <f>VLOOKUP(D196,Сountries!V:Z,2,0)</f>
        <v>Oceania</v>
      </c>
      <c r="S196" s="15" t="str">
        <f>VLOOKUP(D196,Сountries!V:Z,3,0)</f>
        <v>Micronesia</v>
      </c>
      <c r="T196" s="15" t="str">
        <f>VLOOKUP(D196,Сountries!V:Z,5,0)</f>
        <v>🇫🇲</v>
      </c>
      <c r="U196" s="15" t="b">
        <f t="shared" si="3"/>
        <v>1</v>
      </c>
    </row>
    <row r="197" spans="1:21" ht="16" x14ac:dyDescent="0.2">
      <c r="A197" s="15">
        <v>196</v>
      </c>
      <c r="B197" s="15" t="s">
        <v>625</v>
      </c>
      <c r="C197" s="15" t="s">
        <v>1362</v>
      </c>
      <c r="D197" s="16" t="s">
        <v>413</v>
      </c>
      <c r="E197" s="15" t="s">
        <v>1366</v>
      </c>
      <c r="F197" s="18">
        <v>108147</v>
      </c>
      <c r="G197" s="19">
        <v>6.9999999999999999E-4</v>
      </c>
      <c r="H197" s="15">
        <v>81</v>
      </c>
      <c r="I197" s="15">
        <v>601</v>
      </c>
      <c r="J197" s="15">
        <v>180</v>
      </c>
      <c r="K197" s="15">
        <v>111</v>
      </c>
      <c r="L197" s="15">
        <v>1.6</v>
      </c>
      <c r="M197" s="15">
        <v>41.5</v>
      </c>
      <c r="N197" s="19">
        <v>0.44700000000000001</v>
      </c>
      <c r="O197" s="19">
        <v>1.2999999999999999E-5</v>
      </c>
      <c r="R197" s="15" t="str">
        <f>VLOOKUP(D197,Сountries!V:Z,2,0)</f>
        <v>America</v>
      </c>
      <c r="S197" s="15" t="str">
        <f>VLOOKUP(D197,Сountries!V:Z,3,0)</f>
        <v>Latin America</v>
      </c>
      <c r="T197" s="15" t="str">
        <f>VLOOKUP(D197,Сountries!V:Z,5,0)</f>
        <v>🇦🇼</v>
      </c>
      <c r="U197" s="15" t="b">
        <f t="shared" si="3"/>
        <v>1</v>
      </c>
    </row>
    <row r="198" spans="1:21" ht="16" x14ac:dyDescent="0.2">
      <c r="A198" s="15">
        <v>197</v>
      </c>
      <c r="B198" s="15" t="s">
        <v>628</v>
      </c>
      <c r="C198" s="15" t="s">
        <v>622</v>
      </c>
      <c r="D198" s="16" t="s">
        <v>185</v>
      </c>
      <c r="E198" s="15" t="s">
        <v>1304</v>
      </c>
      <c r="F198" s="18">
        <v>103742</v>
      </c>
      <c r="G198" s="15" t="s">
        <v>414</v>
      </c>
      <c r="H198" s="15" t="s">
        <v>415</v>
      </c>
      <c r="I198" s="15">
        <v>144</v>
      </c>
      <c r="J198" s="15">
        <v>720</v>
      </c>
      <c r="K198" s="15" t="s">
        <v>416</v>
      </c>
      <c r="L198" s="15">
        <v>3.07</v>
      </c>
      <c r="M198" s="15">
        <v>20.8</v>
      </c>
      <c r="N198" s="21">
        <v>0.26</v>
      </c>
      <c r="O198" s="19">
        <v>1.2999999999999999E-5</v>
      </c>
      <c r="R198" s="15" t="str">
        <f>VLOOKUP(D198,Сountries!V:Z,2,0)</f>
        <v>Oceania</v>
      </c>
      <c r="S198" s="15" t="str">
        <f>VLOOKUP(D198,Сountries!V:Z,3,0)</f>
        <v>Polynesia</v>
      </c>
      <c r="T198" s="15" t="str">
        <f>VLOOKUP(D198,Сountries!V:Z,5,0)</f>
        <v>🇹🇴</v>
      </c>
      <c r="U198" s="15" t="b">
        <f t="shared" si="3"/>
        <v>1</v>
      </c>
    </row>
    <row r="199" spans="1:21" ht="16" x14ac:dyDescent="0.2">
      <c r="A199" s="15">
        <v>198</v>
      </c>
      <c r="B199" s="15" t="s">
        <v>628</v>
      </c>
      <c r="C199" s="15" t="s">
        <v>619</v>
      </c>
      <c r="D199" s="16" t="s">
        <v>186</v>
      </c>
      <c r="E199" s="15" t="s">
        <v>1305</v>
      </c>
      <c r="F199" s="18">
        <v>99924</v>
      </c>
      <c r="G199" s="15" t="s">
        <v>417</v>
      </c>
      <c r="H199" s="15" t="s">
        <v>418</v>
      </c>
      <c r="I199" s="15">
        <v>256</v>
      </c>
      <c r="J199" s="15">
        <v>390</v>
      </c>
      <c r="K199" s="15" t="s">
        <v>419</v>
      </c>
      <c r="L199" s="15">
        <v>1.75</v>
      </c>
      <c r="M199" s="15">
        <v>34.4</v>
      </c>
      <c r="N199" s="19">
        <v>0.61599999999999999</v>
      </c>
      <c r="O199" s="19">
        <v>1.2E-5</v>
      </c>
      <c r="R199" s="15" t="str">
        <f>VLOOKUP(D199,Сountries!V:Z,2,0)</f>
        <v>Oceania</v>
      </c>
      <c r="S199" s="15" t="str">
        <f>VLOOKUP(D199,Сountries!V:Z,3,0)</f>
        <v>Caribbean</v>
      </c>
      <c r="T199" s="15" t="str">
        <f>VLOOKUP(D199,Сountries!V:Z,5,0)</f>
        <v>🇻🇨</v>
      </c>
      <c r="U199" s="15" t="b">
        <f t="shared" si="3"/>
        <v>1</v>
      </c>
    </row>
    <row r="200" spans="1:21" ht="16" x14ac:dyDescent="0.2">
      <c r="A200" s="15">
        <v>199</v>
      </c>
      <c r="B200" s="15" t="s">
        <v>628</v>
      </c>
      <c r="C200" s="15" t="s">
        <v>619</v>
      </c>
      <c r="D200" s="16" t="s">
        <v>187</v>
      </c>
      <c r="E200" s="15" t="s">
        <v>1306</v>
      </c>
      <c r="F200" s="18">
        <v>94209</v>
      </c>
      <c r="G200" s="19">
        <v>4.7000000000000002E-3</v>
      </c>
      <c r="H200" s="15">
        <v>437</v>
      </c>
      <c r="I200" s="15">
        <v>214</v>
      </c>
      <c r="J200" s="15">
        <v>440</v>
      </c>
      <c r="K200" s="15">
        <v>12</v>
      </c>
      <c r="L200" s="15">
        <v>1.58</v>
      </c>
      <c r="M200" s="15">
        <v>36.299999999999997</v>
      </c>
      <c r="N200" s="19">
        <v>0.28499999999999998</v>
      </c>
      <c r="O200" s="19">
        <v>1.1E-5</v>
      </c>
      <c r="R200" s="15" t="str">
        <f>VLOOKUP(D200,Сountries!V:Z,2,0)</f>
        <v>Oceania</v>
      </c>
      <c r="S200" s="15" t="str">
        <f>VLOOKUP(D200,Сountries!V:Z,3,0)</f>
        <v>Caribbean</v>
      </c>
      <c r="T200" s="15" t="str">
        <f>VLOOKUP(D200,Сountries!V:Z,5,0)</f>
        <v>🇦🇬</v>
      </c>
      <c r="U200" s="15" t="b">
        <f t="shared" si="3"/>
        <v>1</v>
      </c>
    </row>
    <row r="201" spans="1:21" ht="16" x14ac:dyDescent="0.2">
      <c r="A201" s="15">
        <v>200</v>
      </c>
      <c r="B201" s="15" t="s">
        <v>625</v>
      </c>
      <c r="C201" s="15" t="s">
        <v>1362</v>
      </c>
      <c r="D201" s="16" t="s">
        <v>420</v>
      </c>
      <c r="E201" s="15" t="s">
        <v>1367</v>
      </c>
      <c r="F201" s="18">
        <v>84138</v>
      </c>
      <c r="G201" s="15" t="s">
        <v>382</v>
      </c>
      <c r="H201" s="15" t="s">
        <v>421</v>
      </c>
      <c r="I201" s="15">
        <v>240</v>
      </c>
      <c r="J201" s="15">
        <v>350</v>
      </c>
      <c r="K201" s="15" t="s">
        <v>422</v>
      </c>
      <c r="L201" s="15">
        <v>2.0699999999999998</v>
      </c>
      <c r="M201" s="15">
        <v>44.8</v>
      </c>
      <c r="O201" s="19">
        <v>1.0000000000000001E-5</v>
      </c>
      <c r="R201" s="15" t="str">
        <f>VLOOKUP(D201,Сountries!V:Z,2,0)</f>
        <v>America</v>
      </c>
      <c r="S201" s="15" t="str">
        <f>VLOOKUP(D201,Сountries!V:Z,3,0)</f>
        <v>Latin America</v>
      </c>
      <c r="T201" s="15" t="str">
        <f>VLOOKUP(D201,Сountries!V:Z,5,0)</f>
        <v>🇻🇮</v>
      </c>
      <c r="U201" s="15" t="b">
        <f t="shared" si="3"/>
        <v>1</v>
      </c>
    </row>
    <row r="202" spans="1:21" ht="16" x14ac:dyDescent="0.2">
      <c r="A202" s="15">
        <v>201</v>
      </c>
      <c r="B202" s="15" t="s">
        <v>626</v>
      </c>
      <c r="C202" s="15" t="s">
        <v>615</v>
      </c>
      <c r="D202" s="16" t="s">
        <v>423</v>
      </c>
      <c r="E202" s="15" t="s">
        <v>1369</v>
      </c>
      <c r="F202" s="18">
        <v>84118</v>
      </c>
      <c r="G202" s="15" t="s">
        <v>424</v>
      </c>
      <c r="H202" s="15" t="s">
        <v>425</v>
      </c>
      <c r="I202" s="15">
        <v>148</v>
      </c>
      <c r="J202" s="15">
        <v>570</v>
      </c>
      <c r="K202" s="15">
        <v>166</v>
      </c>
      <c r="L202" s="15">
        <v>1.53</v>
      </c>
      <c r="M202" s="15">
        <v>46.1</v>
      </c>
      <c r="N202" s="19">
        <v>0.56699999999999995</v>
      </c>
      <c r="O202" s="19">
        <v>1.0000000000000001E-5</v>
      </c>
      <c r="R202" s="15" t="str">
        <f>VLOOKUP(D202,Сountries!V:Z,2,0)</f>
        <v>Europe</v>
      </c>
      <c r="S202" s="15" t="str">
        <f>VLOOKUP(D202,Сountries!V:Z,3,0)</f>
        <v>Northern Europe</v>
      </c>
      <c r="T202" s="15" t="str">
        <f>VLOOKUP(D202,Сountries!V:Z,5,0)</f>
        <v>🇮🇲</v>
      </c>
      <c r="U202" s="15" t="b">
        <f t="shared" si="3"/>
        <v>1</v>
      </c>
    </row>
    <row r="203" spans="1:21" ht="16" x14ac:dyDescent="0.2">
      <c r="A203" s="15">
        <v>202</v>
      </c>
      <c r="B203" s="15" t="s">
        <v>626</v>
      </c>
      <c r="C203" s="15" t="s">
        <v>616</v>
      </c>
      <c r="D203" s="16" t="s">
        <v>188</v>
      </c>
      <c r="E203" s="15" t="s">
        <v>1307</v>
      </c>
      <c r="F203" s="18">
        <v>82904</v>
      </c>
      <c r="G203" s="19">
        <v>1.18E-2</v>
      </c>
      <c r="H203" s="15">
        <v>966</v>
      </c>
      <c r="I203" s="15">
        <v>176</v>
      </c>
      <c r="J203" s="15">
        <v>470</v>
      </c>
      <c r="K203" s="15">
        <v>843</v>
      </c>
      <c r="L203" s="15">
        <v>1.1000000000000001</v>
      </c>
      <c r="M203" s="15">
        <v>43.9</v>
      </c>
      <c r="N203" s="19">
        <v>0.82299999999999995</v>
      </c>
      <c r="O203" s="19">
        <v>1.0000000000000001E-5</v>
      </c>
      <c r="R203" s="15" t="str">
        <f>VLOOKUP(D203,Сountries!V:Z,2,0)</f>
        <v>Europe</v>
      </c>
      <c r="S203" s="15" t="str">
        <f>VLOOKUP(D203,Сountries!V:Z,3,0)</f>
        <v>Southern Europe</v>
      </c>
      <c r="T203" s="15" t="str">
        <f>VLOOKUP(D203,Сountries!V:Z,5,0)</f>
        <v>🇦🇩</v>
      </c>
      <c r="U203" s="15" t="b">
        <f t="shared" si="3"/>
        <v>1</v>
      </c>
    </row>
    <row r="204" spans="1:21" ht="16" x14ac:dyDescent="0.2">
      <c r="A204" s="15">
        <v>203</v>
      </c>
      <c r="B204" s="15" t="s">
        <v>625</v>
      </c>
      <c r="C204" s="15" t="s">
        <v>1362</v>
      </c>
      <c r="D204" s="16" t="s">
        <v>426</v>
      </c>
      <c r="E204" s="15" t="s">
        <v>1370</v>
      </c>
      <c r="F204" s="18">
        <v>75844</v>
      </c>
      <c r="G204" s="19">
        <v>1.8599999999999998E-2</v>
      </c>
      <c r="H204" s="20">
        <v>1387</v>
      </c>
      <c r="I204" s="15">
        <v>316</v>
      </c>
      <c r="J204" s="15">
        <v>240</v>
      </c>
      <c r="K204" s="15">
        <v>888</v>
      </c>
      <c r="L204" s="15">
        <v>1.51</v>
      </c>
      <c r="M204" s="15">
        <v>38.700000000000003</v>
      </c>
      <c r="N204" s="19">
        <v>0.89100000000000001</v>
      </c>
      <c r="O204" s="19">
        <v>9.2E-6</v>
      </c>
      <c r="R204" s="15" t="str">
        <f>VLOOKUP(D204,Сountries!V:Z,2,0)</f>
        <v>America</v>
      </c>
      <c r="S204" s="15" t="str">
        <f>VLOOKUP(D204,Сountries!V:Z,3,0)</f>
        <v>Latin America</v>
      </c>
      <c r="T204" s="15" t="str">
        <f>VLOOKUP(D204,Сountries!V:Z,5,0)</f>
        <v>🇰🇾</v>
      </c>
      <c r="U204" s="15" t="b">
        <f t="shared" si="3"/>
        <v>1</v>
      </c>
    </row>
    <row r="205" spans="1:21" ht="16" x14ac:dyDescent="0.2">
      <c r="A205" s="15">
        <v>204</v>
      </c>
      <c r="B205" s="15" t="s">
        <v>628</v>
      </c>
      <c r="C205" s="15" t="s">
        <v>619</v>
      </c>
      <c r="D205" s="16" t="s">
        <v>189</v>
      </c>
      <c r="E205" s="15" t="s">
        <v>584</v>
      </c>
      <c r="F205" s="18">
        <v>65871</v>
      </c>
      <c r="G205" s="15" t="s">
        <v>427</v>
      </c>
      <c r="H205" s="15" t="s">
        <v>428</v>
      </c>
      <c r="I205" s="15">
        <v>88</v>
      </c>
      <c r="J205" s="15">
        <v>750</v>
      </c>
      <c r="K205" s="15" t="s">
        <v>429</v>
      </c>
      <c r="L205" s="15">
        <v>1.47</v>
      </c>
      <c r="M205" s="15">
        <v>36.299999999999997</v>
      </c>
      <c r="N205" s="19">
        <v>0.84499999999999997</v>
      </c>
      <c r="O205" s="19">
        <v>7.9999999999999996E-6</v>
      </c>
      <c r="R205" s="15" t="str">
        <f>VLOOKUP(D205,Сountries!V:Z,2,0)</f>
        <v>Oceania</v>
      </c>
      <c r="S205" s="15" t="str">
        <f>VLOOKUP(D205,Сountries!V:Z,3,0)</f>
        <v>Caribbean</v>
      </c>
      <c r="T205" s="15" t="str">
        <f>VLOOKUP(D205,Сountries!V:Z,5,0)</f>
        <v>🇩🇲</v>
      </c>
      <c r="U205" s="15" t="b">
        <f t="shared" si="3"/>
        <v>1</v>
      </c>
    </row>
    <row r="206" spans="1:21" ht="16" x14ac:dyDescent="0.2">
      <c r="A206" s="15">
        <v>205</v>
      </c>
      <c r="B206" s="15" t="s">
        <v>625</v>
      </c>
      <c r="C206" s="15" t="s">
        <v>1356</v>
      </c>
      <c r="D206" s="16" t="s">
        <v>430</v>
      </c>
      <c r="E206" s="15" t="s">
        <v>1371</v>
      </c>
      <c r="F206" s="18">
        <v>64555</v>
      </c>
      <c r="G206" s="15" t="s">
        <v>290</v>
      </c>
      <c r="H206" s="15" t="s">
        <v>431</v>
      </c>
      <c r="I206" s="20">
        <v>1291</v>
      </c>
      <c r="J206" s="15">
        <v>50</v>
      </c>
      <c r="K206" s="15" t="s">
        <v>432</v>
      </c>
      <c r="L206" s="15">
        <v>1.41</v>
      </c>
      <c r="M206" s="15">
        <v>46</v>
      </c>
      <c r="N206" s="21">
        <v>0.93</v>
      </c>
      <c r="O206" s="19">
        <v>7.7999999999999999E-6</v>
      </c>
      <c r="R206" s="15" t="str">
        <f>VLOOKUP(D206,Сountries!V:Z,2,0)</f>
        <v>America</v>
      </c>
      <c r="S206" s="15" t="str">
        <f>VLOOKUP(D206,Сountries!V:Z,3,0)</f>
        <v>North America</v>
      </c>
      <c r="T206" s="15" t="str">
        <f>VLOOKUP(D206,Сountries!V:Z,5,0)</f>
        <v>🇧🇲</v>
      </c>
      <c r="U206" s="15" t="b">
        <f t="shared" si="3"/>
        <v>1</v>
      </c>
    </row>
    <row r="207" spans="1:21" ht="16" x14ac:dyDescent="0.2">
      <c r="A207" s="15">
        <v>206</v>
      </c>
      <c r="B207" s="15" t="s">
        <v>626</v>
      </c>
      <c r="C207" s="15" t="s">
        <v>615</v>
      </c>
      <c r="D207" s="16" t="s">
        <v>971</v>
      </c>
      <c r="E207" s="15" t="s">
        <v>1358</v>
      </c>
      <c r="F207" s="18">
        <v>56002</v>
      </c>
      <c r="G207" s="19">
        <v>1.09E-2</v>
      </c>
      <c r="H207" s="15">
        <v>602</v>
      </c>
      <c r="I207" s="15">
        <v>40</v>
      </c>
      <c r="J207" s="20">
        <v>1396</v>
      </c>
      <c r="K207" s="15">
        <v>386</v>
      </c>
      <c r="L207" s="15">
        <v>2.2000000000000002</v>
      </c>
      <c r="M207" s="15">
        <v>37.1</v>
      </c>
      <c r="N207" s="19">
        <v>0.39500000000000002</v>
      </c>
      <c r="O207" s="19">
        <v>6.8000000000000001E-6</v>
      </c>
      <c r="R207" s="15" t="str">
        <f>VLOOKUP(D207,Сountries!V:Z,2,0)</f>
        <v>Europe</v>
      </c>
      <c r="S207" s="15" t="str">
        <f>VLOOKUP(D207,Сountries!V:Z,3,0)</f>
        <v>Northern Europe</v>
      </c>
      <c r="T207" s="15" t="str">
        <f>VLOOKUP(D207,Сountries!V:Z,5,0)</f>
        <v>🇫🇴</v>
      </c>
      <c r="U207" s="15" t="b">
        <f t="shared" si="3"/>
        <v>1</v>
      </c>
    </row>
    <row r="208" spans="1:21" ht="16" x14ac:dyDescent="0.2">
      <c r="A208" s="15">
        <v>207</v>
      </c>
      <c r="B208" s="15" t="s">
        <v>625</v>
      </c>
      <c r="C208" s="15" t="s">
        <v>1356</v>
      </c>
      <c r="D208" s="16" t="s">
        <v>434</v>
      </c>
      <c r="E208" s="15" t="s">
        <v>1352</v>
      </c>
      <c r="F208" s="18">
        <v>55745</v>
      </c>
      <c r="G208" s="15" t="s">
        <v>435</v>
      </c>
      <c r="H208" s="15" t="s">
        <v>436</v>
      </c>
      <c r="I208" s="15">
        <v>0</v>
      </c>
      <c r="J208" s="20">
        <v>410450</v>
      </c>
      <c r="K208" s="15" t="s">
        <v>437</v>
      </c>
      <c r="L208" s="15">
        <v>1.91</v>
      </c>
      <c r="M208" s="15">
        <v>35.1</v>
      </c>
      <c r="N208" s="19">
        <v>0.90700000000000003</v>
      </c>
      <c r="O208" s="19">
        <v>6.8000000000000001E-6</v>
      </c>
      <c r="R208" s="15" t="str">
        <f>VLOOKUP(D208,Сountries!V:Z,2,0)</f>
        <v>America</v>
      </c>
      <c r="S208" s="15" t="str">
        <f>VLOOKUP(D208,Сountries!V:Z,3,0)</f>
        <v>North America</v>
      </c>
      <c r="T208" s="15" t="str">
        <f>VLOOKUP(D208,Сountries!V:Z,5,0)</f>
        <v>🇬🇱</v>
      </c>
      <c r="U208" s="15" t="b">
        <f t="shared" si="3"/>
        <v>1</v>
      </c>
    </row>
    <row r="209" spans="1:21" ht="16" x14ac:dyDescent="0.2">
      <c r="A209" s="15">
        <v>208</v>
      </c>
      <c r="B209" s="15" t="s">
        <v>628</v>
      </c>
      <c r="C209" s="15" t="s">
        <v>619</v>
      </c>
      <c r="D209" s="16" t="s">
        <v>190</v>
      </c>
      <c r="E209" s="15" t="s">
        <v>1308</v>
      </c>
      <c r="F209" s="18">
        <v>46922</v>
      </c>
      <c r="G209" s="19">
        <v>1.6999999999999999E-3</v>
      </c>
      <c r="H209" s="15">
        <v>79</v>
      </c>
      <c r="I209" s="15">
        <v>180</v>
      </c>
      <c r="J209" s="15">
        <v>260</v>
      </c>
      <c r="K209" s="15">
        <v>18</v>
      </c>
      <c r="L209" s="15">
        <v>1.51</v>
      </c>
      <c r="M209" s="15">
        <v>36.200000000000003</v>
      </c>
      <c r="N209" s="19">
        <v>0.39400000000000002</v>
      </c>
      <c r="O209" s="19">
        <v>5.6999999999999996E-6</v>
      </c>
      <c r="R209" s="15" t="str">
        <f>VLOOKUP(D209,Сountries!V:Z,2,0)</f>
        <v>Oceania</v>
      </c>
      <c r="S209" s="15" t="str">
        <f>VLOOKUP(D209,Сountries!V:Z,3,0)</f>
        <v>Caribbean</v>
      </c>
      <c r="T209" s="15" t="str">
        <f>VLOOKUP(D209,Сountries!V:Z,5,0)</f>
        <v>🇰🇳</v>
      </c>
      <c r="U209" s="15" t="b">
        <f t="shared" si="3"/>
        <v>1</v>
      </c>
    </row>
    <row r="210" spans="1:21" ht="16" x14ac:dyDescent="0.2">
      <c r="A210" s="15">
        <v>209</v>
      </c>
      <c r="B210" s="15" t="s">
        <v>625</v>
      </c>
      <c r="C210" s="15" t="s">
        <v>1362</v>
      </c>
      <c r="D210" s="16" t="s">
        <v>1361</v>
      </c>
      <c r="E210" s="15" t="s">
        <v>1360</v>
      </c>
      <c r="F210" s="18">
        <v>46855</v>
      </c>
      <c r="G210" s="19">
        <v>6.8999999999999999E-3</v>
      </c>
      <c r="H210" s="15">
        <v>320</v>
      </c>
      <c r="I210" s="15">
        <v>49</v>
      </c>
      <c r="J210" s="15">
        <v>950</v>
      </c>
      <c r="K210" s="15">
        <v>177</v>
      </c>
      <c r="L210" s="15">
        <v>1.44</v>
      </c>
      <c r="M210" s="15">
        <v>39.200000000000003</v>
      </c>
      <c r="N210" s="19">
        <v>0.79400000000000004</v>
      </c>
      <c r="O210" s="19">
        <v>5.6999999999999996E-6</v>
      </c>
      <c r="R210" s="15" t="str">
        <f>VLOOKUP(D210,Сountries!V:Z,2,0)</f>
        <v>America</v>
      </c>
      <c r="S210" s="15" t="str">
        <f>VLOOKUP(D210,Сountries!V:Z,3,0)</f>
        <v>Latin America</v>
      </c>
      <c r="T210" s="15" t="str">
        <f>VLOOKUP(D210,Сountries!V:Z,5,0)</f>
        <v>🇹🇨</v>
      </c>
      <c r="U210" s="15" t="b">
        <f t="shared" si="3"/>
        <v>1</v>
      </c>
    </row>
    <row r="211" spans="1:21" ht="16" x14ac:dyDescent="0.2">
      <c r="A211" s="15">
        <v>210</v>
      </c>
      <c r="B211" s="15" t="s">
        <v>628</v>
      </c>
      <c r="C211" s="15" t="s">
        <v>628</v>
      </c>
      <c r="D211" s="16" t="s">
        <v>439</v>
      </c>
      <c r="E211" s="15" t="s">
        <v>1372</v>
      </c>
      <c r="F211" s="18">
        <v>46029</v>
      </c>
      <c r="G211" s="15" t="s">
        <v>440</v>
      </c>
      <c r="H211" s="15" t="s">
        <v>441</v>
      </c>
      <c r="I211" s="15">
        <v>230</v>
      </c>
      <c r="J211" s="15">
        <v>200</v>
      </c>
      <c r="K211" s="15" t="s">
        <v>442</v>
      </c>
      <c r="L211" s="15">
        <v>2.25</v>
      </c>
      <c r="M211" s="15">
        <v>29</v>
      </c>
      <c r="O211" s="19">
        <v>5.5999999999999997E-6</v>
      </c>
      <c r="R211" s="15" t="str">
        <f>VLOOKUP(D211,Сountries!V:Z,2,0)</f>
        <v>Oceania</v>
      </c>
      <c r="S211" s="15" t="str">
        <f>VLOOKUP(D211,Сountries!V:Z,3,0)</f>
        <v>Oceania</v>
      </c>
      <c r="T211" s="15" t="str">
        <f>VLOOKUP(D211,Сountries!V:Z,5,0)</f>
        <v>🇦🇸</v>
      </c>
      <c r="U211" s="15" t="b">
        <f t="shared" si="3"/>
        <v>1</v>
      </c>
    </row>
    <row r="212" spans="1:21" ht="16" x14ac:dyDescent="0.2">
      <c r="A212" s="15">
        <v>211</v>
      </c>
      <c r="B212" s="15" t="s">
        <v>625</v>
      </c>
      <c r="C212" s="15" t="s">
        <v>1362</v>
      </c>
      <c r="D212" s="16" t="s">
        <v>443</v>
      </c>
      <c r="E212" s="15" t="s">
        <v>1373</v>
      </c>
      <c r="F212" s="18">
        <v>43923</v>
      </c>
      <c r="G212" s="19">
        <v>1.32E-2</v>
      </c>
      <c r="H212" s="15">
        <v>573</v>
      </c>
      <c r="I212" s="20">
        <v>1292</v>
      </c>
      <c r="J212" s="15">
        <v>34</v>
      </c>
      <c r="K212" s="15">
        <v>530</v>
      </c>
      <c r="L212" s="15">
        <v>1.43</v>
      </c>
      <c r="M212" s="15">
        <v>41.8</v>
      </c>
      <c r="N212" s="19">
        <v>0.998</v>
      </c>
      <c r="O212" s="19">
        <v>5.3000000000000001E-6</v>
      </c>
      <c r="R212" s="15" t="str">
        <f>VLOOKUP(D212,Сountries!V:Z,2,0)</f>
        <v>America</v>
      </c>
      <c r="S212" s="15" t="str">
        <f>VLOOKUP(D212,Сountries!V:Z,3,0)</f>
        <v>Latin America</v>
      </c>
      <c r="T212" s="15" t="str">
        <f>VLOOKUP(D212,Сountries!V:Z,5,0)</f>
        <v>🇸🇽</v>
      </c>
      <c r="U212" s="15" t="b">
        <f t="shared" si="3"/>
        <v>1</v>
      </c>
    </row>
    <row r="213" spans="1:21" ht="16" x14ac:dyDescent="0.2">
      <c r="A213" s="15">
        <v>212</v>
      </c>
      <c r="B213" s="15" t="s">
        <v>628</v>
      </c>
      <c r="C213" s="15" t="s">
        <v>184</v>
      </c>
      <c r="D213" s="16" t="s">
        <v>444</v>
      </c>
      <c r="E213" s="15" t="s">
        <v>1374</v>
      </c>
      <c r="F213" s="18">
        <v>43541</v>
      </c>
      <c r="G213" s="15" t="s">
        <v>445</v>
      </c>
      <c r="H213" s="15" t="s">
        <v>446</v>
      </c>
      <c r="I213" s="15">
        <v>95</v>
      </c>
      <c r="J213" s="15">
        <v>460</v>
      </c>
      <c r="K213" s="15" t="s">
        <v>447</v>
      </c>
      <c r="L213" s="15">
        <v>2.2799999999999998</v>
      </c>
      <c r="M213" s="15">
        <v>38</v>
      </c>
      <c r="O213" s="19">
        <v>5.3000000000000001E-6</v>
      </c>
      <c r="R213" s="15" t="str">
        <f>VLOOKUP(D213,Сountries!V:Z,2,0)</f>
        <v>Oceania</v>
      </c>
      <c r="S213" s="15" t="str">
        <f>VLOOKUP(D213,Сountries!V:Z,3,0)</f>
        <v>Micronesia</v>
      </c>
      <c r="T213" s="15" t="str">
        <f>VLOOKUP(D213,Сountries!V:Z,5,0)</f>
        <v>🇲🇵</v>
      </c>
      <c r="U213" s="15" t="b">
        <f t="shared" si="3"/>
        <v>1</v>
      </c>
    </row>
    <row r="214" spans="1:21" ht="16" x14ac:dyDescent="0.2">
      <c r="A214" s="15">
        <v>213</v>
      </c>
      <c r="B214" s="15" t="s">
        <v>626</v>
      </c>
      <c r="C214" s="15" t="s">
        <v>614</v>
      </c>
      <c r="D214" s="16" t="s">
        <v>191</v>
      </c>
      <c r="E214" s="15" t="s">
        <v>1309</v>
      </c>
      <c r="F214" s="18">
        <v>40128</v>
      </c>
      <c r="G214" s="19">
        <v>6.4999999999999997E-3</v>
      </c>
      <c r="H214" s="15">
        <v>258</v>
      </c>
      <c r="I214" s="15">
        <v>251</v>
      </c>
      <c r="J214" s="15">
        <v>160</v>
      </c>
      <c r="K214" s="15">
        <v>194</v>
      </c>
      <c r="L214" s="15">
        <v>1.54</v>
      </c>
      <c r="M214" s="15">
        <v>44.5</v>
      </c>
      <c r="N214" s="19">
        <v>0.14699999999999999</v>
      </c>
      <c r="O214" s="19">
        <v>4.8999999999999997E-6</v>
      </c>
      <c r="R214" s="15" t="str">
        <f>VLOOKUP(D214,Сountries!V:Z,2,0)</f>
        <v>Europe</v>
      </c>
      <c r="S214" s="15" t="str">
        <f>VLOOKUP(D214,Сountries!V:Z,3,0)</f>
        <v>Western Europe</v>
      </c>
      <c r="T214" s="15" t="str">
        <f>VLOOKUP(D214,Сountries!V:Z,5,0)</f>
        <v>🇱🇮</v>
      </c>
      <c r="U214" s="15" t="b">
        <f t="shared" si="3"/>
        <v>1</v>
      </c>
    </row>
    <row r="215" spans="1:21" ht="16" x14ac:dyDescent="0.2">
      <c r="A215" s="15">
        <v>214</v>
      </c>
      <c r="B215" s="15" t="s">
        <v>626</v>
      </c>
      <c r="C215" s="15" t="s">
        <v>616</v>
      </c>
      <c r="D215" s="16" t="s">
        <v>448</v>
      </c>
      <c r="E215" s="15" t="s">
        <v>1333</v>
      </c>
      <c r="F215" s="18">
        <v>40126</v>
      </c>
      <c r="G215" s="19">
        <v>2.0299999999999999E-2</v>
      </c>
      <c r="H215" s="15">
        <v>797</v>
      </c>
      <c r="I215" s="20">
        <v>4013</v>
      </c>
      <c r="J215" s="15">
        <v>10</v>
      </c>
      <c r="K215" s="15">
        <v>549</v>
      </c>
      <c r="L215" s="15">
        <v>1.88</v>
      </c>
      <c r="M215" s="15">
        <v>38.799999999999997</v>
      </c>
      <c r="N215" s="19">
        <v>0.88500000000000001</v>
      </c>
      <c r="O215" s="19">
        <v>4.8999999999999997E-6</v>
      </c>
      <c r="R215" s="15" t="str">
        <f>VLOOKUP(D215,Сountries!V:Z,2,0)</f>
        <v>Europe</v>
      </c>
      <c r="S215" s="15" t="str">
        <f>VLOOKUP(D215,Сountries!V:Z,3,0)</f>
        <v>Southern Europe</v>
      </c>
      <c r="T215" s="15" t="str">
        <f>VLOOKUP(D215,Сountries!V:Z,5,0)</f>
        <v>🇬🇮</v>
      </c>
      <c r="U215" s="15" t="b">
        <f t="shared" si="3"/>
        <v>1</v>
      </c>
    </row>
    <row r="216" spans="1:21" ht="16" x14ac:dyDescent="0.2">
      <c r="A216" s="15">
        <v>215</v>
      </c>
      <c r="B216" s="15" t="s">
        <v>625</v>
      </c>
      <c r="C216" s="15" t="s">
        <v>1362</v>
      </c>
      <c r="D216" s="16" t="s">
        <v>449</v>
      </c>
      <c r="E216" s="15" t="s">
        <v>1368</v>
      </c>
      <c r="F216" s="18">
        <v>39732</v>
      </c>
      <c r="G216" s="19">
        <v>6.6E-3</v>
      </c>
      <c r="H216" s="15">
        <v>261</v>
      </c>
      <c r="I216" s="15">
        <v>265</v>
      </c>
      <c r="J216" s="15">
        <v>150</v>
      </c>
      <c r="K216" s="15">
        <v>153</v>
      </c>
      <c r="L216" s="15">
        <v>1.06</v>
      </c>
      <c r="M216" s="15">
        <v>38.6</v>
      </c>
      <c r="N216" s="19">
        <v>0.434</v>
      </c>
      <c r="O216" s="19">
        <v>4.7999999999999998E-6</v>
      </c>
      <c r="R216" s="15" t="str">
        <f>VLOOKUP(D216,Сountries!V:Z,2,0)</f>
        <v>America</v>
      </c>
      <c r="S216" s="15" t="str">
        <f>VLOOKUP(D216,Сountries!V:Z,3,0)</f>
        <v>Latin America</v>
      </c>
      <c r="T216" s="15" t="str">
        <f>VLOOKUP(D216,Сountries!V:Z,5,0)</f>
        <v>🇻🇬</v>
      </c>
      <c r="U216" s="15" t="b">
        <f t="shared" si="3"/>
        <v>1</v>
      </c>
    </row>
    <row r="217" spans="1:21" ht="16" x14ac:dyDescent="0.2">
      <c r="A217" s="15">
        <v>216</v>
      </c>
      <c r="B217" s="15" t="s">
        <v>626</v>
      </c>
      <c r="C217" s="15" t="s">
        <v>614</v>
      </c>
      <c r="D217" s="16" t="s">
        <v>192</v>
      </c>
      <c r="E217" s="15" t="s">
        <v>1310</v>
      </c>
      <c r="F217" s="18">
        <v>38341</v>
      </c>
      <c r="G217" s="15" t="s">
        <v>450</v>
      </c>
      <c r="H217" s="15" t="s">
        <v>451</v>
      </c>
      <c r="I217" s="20">
        <v>25732</v>
      </c>
      <c r="J217" s="15">
        <v>1</v>
      </c>
      <c r="K217" s="15">
        <v>100</v>
      </c>
      <c r="L217" s="15">
        <v>2.09</v>
      </c>
      <c r="M217" s="15">
        <v>53.6</v>
      </c>
      <c r="O217" s="19">
        <v>4.6999999999999999E-6</v>
      </c>
      <c r="R217" s="15" t="str">
        <f>VLOOKUP(D217,Сountries!V:Z,2,0)</f>
        <v>Europe</v>
      </c>
      <c r="S217" s="15" t="str">
        <f>VLOOKUP(D217,Сountries!V:Z,3,0)</f>
        <v>Western Europe</v>
      </c>
      <c r="T217" s="15" t="str">
        <f>VLOOKUP(D217,Сountries!V:Z,5,0)</f>
        <v>🇲🇨</v>
      </c>
      <c r="U217" s="15" t="b">
        <f t="shared" si="3"/>
        <v>1</v>
      </c>
    </row>
    <row r="218" spans="1:21" ht="16" x14ac:dyDescent="0.2">
      <c r="A218" s="15">
        <v>217</v>
      </c>
      <c r="B218" s="15" t="s">
        <v>628</v>
      </c>
      <c r="C218" s="15" t="s">
        <v>184</v>
      </c>
      <c r="D218" s="16" t="s">
        <v>193</v>
      </c>
      <c r="E218" s="15" t="s">
        <v>1311</v>
      </c>
      <c r="F218" s="18">
        <v>36282</v>
      </c>
      <c r="G218" s="15" t="s">
        <v>452</v>
      </c>
      <c r="H218" s="15" t="s">
        <v>453</v>
      </c>
      <c r="I218" s="15">
        <v>202</v>
      </c>
      <c r="J218" s="15">
        <v>180</v>
      </c>
      <c r="K218" s="15" t="s">
        <v>454</v>
      </c>
      <c r="L218" s="15">
        <v>2.82</v>
      </c>
      <c r="M218" s="15">
        <v>20.399999999999999</v>
      </c>
      <c r="O218" s="19">
        <v>4.4000000000000002E-6</v>
      </c>
      <c r="R218" s="15" t="str">
        <f>VLOOKUP(D218,Сountries!V:Z,2,0)</f>
        <v>Oceania</v>
      </c>
      <c r="S218" s="15" t="str">
        <f>VLOOKUP(D218,Сountries!V:Z,3,0)</f>
        <v>Micronesia</v>
      </c>
      <c r="T218" s="15" t="str">
        <f>VLOOKUP(D218,Сountries!V:Z,5,0)</f>
        <v>🇲🇭</v>
      </c>
      <c r="U218" s="15" t="b">
        <f t="shared" si="3"/>
        <v>1</v>
      </c>
    </row>
    <row r="219" spans="1:21" ht="16" x14ac:dyDescent="0.2">
      <c r="A219" s="15">
        <v>218</v>
      </c>
      <c r="B219" s="15" t="s">
        <v>626</v>
      </c>
      <c r="C219" s="15" t="s">
        <v>616</v>
      </c>
      <c r="D219" s="16" t="s">
        <v>194</v>
      </c>
      <c r="E219" s="15" t="s">
        <v>1312</v>
      </c>
      <c r="F219" s="18">
        <v>33572</v>
      </c>
      <c r="G219" s="15" t="s">
        <v>329</v>
      </c>
      <c r="H219" s="15" t="s">
        <v>455</v>
      </c>
      <c r="I219" s="15">
        <v>560</v>
      </c>
      <c r="J219" s="15">
        <v>60</v>
      </c>
      <c r="K219" s="15">
        <v>122</v>
      </c>
      <c r="L219" s="15">
        <v>1.1599999999999999</v>
      </c>
      <c r="M219" s="15">
        <v>48.6</v>
      </c>
      <c r="O219" s="19">
        <v>4.0999999999999997E-6</v>
      </c>
      <c r="R219" s="15" t="str">
        <f>VLOOKUP(D219,Сountries!V:Z,2,0)</f>
        <v>Europe</v>
      </c>
      <c r="S219" s="15" t="str">
        <f>VLOOKUP(D219,Сountries!V:Z,3,0)</f>
        <v>Southern Europe</v>
      </c>
      <c r="T219" s="15" t="str">
        <f>VLOOKUP(D219,Сountries!V:Z,5,0)</f>
        <v>🇸🇲</v>
      </c>
      <c r="U219" s="15" t="b">
        <f t="shared" si="3"/>
        <v>1</v>
      </c>
    </row>
    <row r="220" spans="1:21" ht="16" x14ac:dyDescent="0.2">
      <c r="A220" s="15">
        <v>219</v>
      </c>
      <c r="B220" s="15" t="s">
        <v>625</v>
      </c>
      <c r="C220" s="15" t="s">
        <v>1362</v>
      </c>
      <c r="D220" s="16" t="s">
        <v>456</v>
      </c>
      <c r="E220" s="15" t="s">
        <v>569</v>
      </c>
      <c r="F220" s="18">
        <v>31338</v>
      </c>
      <c r="G220" s="19">
        <v>2.1600000000000001E-2</v>
      </c>
      <c r="H220" s="15">
        <v>663</v>
      </c>
      <c r="I220" s="15">
        <v>96</v>
      </c>
      <c r="J220" s="15">
        <v>328</v>
      </c>
      <c r="K220" s="15">
        <v>600</v>
      </c>
      <c r="L220" s="15">
        <v>1.45</v>
      </c>
      <c r="M220" s="15">
        <v>39.6</v>
      </c>
      <c r="N220" s="19">
        <v>0.65600000000000003</v>
      </c>
      <c r="O220" s="19">
        <v>3.8E-6</v>
      </c>
      <c r="R220" s="15" t="str">
        <f>VLOOKUP(D220,Сountries!V:Z,2,0)</f>
        <v>America</v>
      </c>
      <c r="S220" s="15" t="str">
        <f>VLOOKUP(D220,Сountries!V:Z,3,0)</f>
        <v>Latin America</v>
      </c>
      <c r="T220" s="15" t="str">
        <f>VLOOKUP(D220,Сountries!V:Z,5,0)</f>
        <v>🇳🇱</v>
      </c>
      <c r="U220" s="15" t="b">
        <f t="shared" si="3"/>
        <v>1</v>
      </c>
    </row>
    <row r="221" spans="1:21" ht="16" x14ac:dyDescent="0.2">
      <c r="A221" s="15">
        <v>220</v>
      </c>
      <c r="B221" s="15" t="s">
        <v>628</v>
      </c>
      <c r="C221" s="15" t="s">
        <v>184</v>
      </c>
      <c r="D221" s="16" t="s">
        <v>195</v>
      </c>
      <c r="E221" s="15" t="s">
        <v>1313</v>
      </c>
      <c r="F221" s="18">
        <v>17663</v>
      </c>
      <c r="G221" s="15" t="s">
        <v>457</v>
      </c>
      <c r="H221" s="15" t="s">
        <v>458</v>
      </c>
      <c r="I221" s="15">
        <v>38</v>
      </c>
      <c r="J221" s="15">
        <v>460</v>
      </c>
      <c r="K221" s="15" t="s">
        <v>459</v>
      </c>
      <c r="L221" s="15">
        <v>1.86</v>
      </c>
      <c r="M221" s="15">
        <v>38.5</v>
      </c>
      <c r="O221" s="19">
        <v>2.0999999999999998E-6</v>
      </c>
      <c r="R221" s="15" t="str">
        <f>VLOOKUP(D221,Сountries!V:Z,2,0)</f>
        <v>Oceania</v>
      </c>
      <c r="S221" s="15" t="str">
        <f>VLOOKUP(D221,Сountries!V:Z,3,0)</f>
        <v>Micronesia</v>
      </c>
      <c r="T221" s="15" t="str">
        <f>VLOOKUP(D221,Сountries!V:Z,5,0)</f>
        <v>🇵🇼</v>
      </c>
      <c r="U221" s="15" t="b">
        <f t="shared" si="3"/>
        <v>1</v>
      </c>
    </row>
    <row r="222" spans="1:21" ht="16" x14ac:dyDescent="0.2">
      <c r="A222" s="15">
        <v>221</v>
      </c>
      <c r="B222" s="15" t="s">
        <v>625</v>
      </c>
      <c r="C222" s="15" t="s">
        <v>1362</v>
      </c>
      <c r="D222" s="16" t="s">
        <v>460</v>
      </c>
      <c r="E222" s="15" t="s">
        <v>1375</v>
      </c>
      <c r="F222" s="18">
        <v>14728</v>
      </c>
      <c r="G222" s="19">
        <v>8.8999999999999999E-3</v>
      </c>
      <c r="H222" s="15">
        <v>130</v>
      </c>
      <c r="I222" s="15">
        <v>164</v>
      </c>
      <c r="J222" s="15">
        <v>90</v>
      </c>
      <c r="K222" s="15">
        <v>70</v>
      </c>
      <c r="L222" s="15">
        <v>1.35</v>
      </c>
      <c r="M222" s="15">
        <v>38.700000000000003</v>
      </c>
      <c r="O222" s="19">
        <v>1.7999999999999999E-6</v>
      </c>
      <c r="R222" s="15" t="str">
        <f>VLOOKUP(D222,Сountries!V:Z,2,0)</f>
        <v>America</v>
      </c>
      <c r="S222" s="15" t="str">
        <f>VLOOKUP(D222,Сountries!V:Z,3,0)</f>
        <v>Latin America</v>
      </c>
      <c r="T222" s="15" t="str">
        <f>VLOOKUP(D222,Сountries!V:Z,5,0)</f>
        <v>🇦🇮</v>
      </c>
      <c r="U222" s="15" t="b">
        <f t="shared" si="3"/>
        <v>1</v>
      </c>
    </row>
    <row r="223" spans="1:21" ht="16" x14ac:dyDescent="0.2">
      <c r="A223" s="15">
        <v>222</v>
      </c>
      <c r="B223" s="15" t="s">
        <v>628</v>
      </c>
      <c r="C223" s="15" t="s">
        <v>622</v>
      </c>
      <c r="D223" s="16" t="s">
        <v>461</v>
      </c>
      <c r="E223" s="15" t="s">
        <v>1376</v>
      </c>
      <c r="F223" s="18">
        <v>13263</v>
      </c>
      <c r="G223" s="15" t="s">
        <v>462</v>
      </c>
      <c r="H223" s="15" t="s">
        <v>463</v>
      </c>
      <c r="I223" s="15">
        <v>55</v>
      </c>
      <c r="J223" s="15">
        <v>240</v>
      </c>
      <c r="K223" s="15" t="s">
        <v>464</v>
      </c>
      <c r="L223" s="15">
        <v>2</v>
      </c>
      <c r="M223" s="15">
        <v>37.1</v>
      </c>
      <c r="O223" s="19">
        <v>1.5999999999999999E-6</v>
      </c>
      <c r="R223" s="15" t="str">
        <f>VLOOKUP(D223,Сountries!V:Z,2,0)</f>
        <v>Oceania</v>
      </c>
      <c r="S223" s="15" t="str">
        <f>VLOOKUP(D223,Сountries!V:Z,3,0)</f>
        <v>Polynesia</v>
      </c>
      <c r="T223" s="15" t="str">
        <f>VLOOKUP(D223,Сountries!V:Z,5,0)</f>
        <v>🇨🇰</v>
      </c>
      <c r="U223" s="15" t="b">
        <f t="shared" si="3"/>
        <v>1</v>
      </c>
    </row>
    <row r="224" spans="1:21" ht="16" x14ac:dyDescent="0.2">
      <c r="A224" s="15">
        <v>223</v>
      </c>
      <c r="B224" s="15" t="s">
        <v>628</v>
      </c>
      <c r="C224" s="15" t="s">
        <v>184</v>
      </c>
      <c r="D224" s="16" t="s">
        <v>196</v>
      </c>
      <c r="E224" s="15" t="s">
        <v>1314</v>
      </c>
      <c r="F224" s="18">
        <v>12025</v>
      </c>
      <c r="G224" s="19">
        <v>6.4999999999999997E-3</v>
      </c>
      <c r="H224" s="15">
        <v>78</v>
      </c>
      <c r="I224" s="15">
        <v>601</v>
      </c>
      <c r="J224" s="15">
        <v>20</v>
      </c>
      <c r="K224" s="15" t="s">
        <v>465</v>
      </c>
      <c r="L224" s="15">
        <v>3.25</v>
      </c>
      <c r="M224" s="15">
        <v>20.2</v>
      </c>
      <c r="N224" s="19">
        <v>0.94199999999999995</v>
      </c>
      <c r="O224" s="19">
        <v>1.5E-6</v>
      </c>
      <c r="R224" s="15" t="str">
        <f>VLOOKUP(D224,Сountries!V:Z,2,0)</f>
        <v>Oceania</v>
      </c>
      <c r="S224" s="15" t="str">
        <f>VLOOKUP(D224,Сountries!V:Z,3,0)</f>
        <v>Micronesia</v>
      </c>
      <c r="T224" s="15" t="str">
        <f>VLOOKUP(D224,Сountries!V:Z,5,0)</f>
        <v>🇳🇷</v>
      </c>
      <c r="U224" s="15" t="b">
        <f t="shared" si="3"/>
        <v>1</v>
      </c>
    </row>
    <row r="225" spans="1:21" ht="16" x14ac:dyDescent="0.2">
      <c r="A225" s="15">
        <v>224</v>
      </c>
      <c r="B225" s="15" t="s">
        <v>625</v>
      </c>
      <c r="C225" s="15" t="s">
        <v>1362</v>
      </c>
      <c r="D225" s="16" t="s">
        <v>466</v>
      </c>
      <c r="E225" s="15" t="s">
        <v>1335</v>
      </c>
      <c r="F225" s="18">
        <v>11414</v>
      </c>
      <c r="G225" s="19">
        <v>1.3899999999999999E-2</v>
      </c>
      <c r="H225" s="15">
        <v>156</v>
      </c>
      <c r="I225" s="15">
        <v>544</v>
      </c>
      <c r="J225" s="15">
        <v>21</v>
      </c>
      <c r="K225" s="15">
        <v>158</v>
      </c>
      <c r="L225" s="15">
        <v>0.83</v>
      </c>
      <c r="M225" s="15">
        <v>39</v>
      </c>
      <c r="O225" s="19">
        <v>1.3999999999999999E-6</v>
      </c>
      <c r="R225" s="15" t="str">
        <f>VLOOKUP(D225,Сountries!V:Z,2,0)</f>
        <v>America</v>
      </c>
      <c r="S225" s="15" t="str">
        <f>VLOOKUP(D225,Сountries!V:Z,3,0)</f>
        <v>Latin America</v>
      </c>
      <c r="T225" s="15" t="str">
        <f>VLOOKUP(D225,Сountries!V:Z,5,0)</f>
        <v>🇧🇱</v>
      </c>
      <c r="U225" s="15" t="b">
        <f t="shared" si="3"/>
        <v>1</v>
      </c>
    </row>
    <row r="226" spans="1:21" ht="16" x14ac:dyDescent="0.2">
      <c r="A226" s="15">
        <v>225</v>
      </c>
      <c r="B226" s="15" t="s">
        <v>628</v>
      </c>
      <c r="C226" s="15" t="s">
        <v>622</v>
      </c>
      <c r="D226" s="16" t="s">
        <v>467</v>
      </c>
      <c r="E226" s="15" t="s">
        <v>1377</v>
      </c>
      <c r="F226" s="18">
        <v>11194</v>
      </c>
      <c r="G226" s="15" t="s">
        <v>468</v>
      </c>
      <c r="H226" s="15" t="s">
        <v>469</v>
      </c>
      <c r="I226" s="15">
        <v>80</v>
      </c>
      <c r="J226" s="15">
        <v>140</v>
      </c>
      <c r="K226" s="15" t="s">
        <v>469</v>
      </c>
      <c r="L226" s="15">
        <v>1.4</v>
      </c>
      <c r="M226" s="15">
        <v>38.200000000000003</v>
      </c>
      <c r="O226" s="19">
        <v>1.3999999999999999E-6</v>
      </c>
      <c r="R226" s="15" t="str">
        <f>VLOOKUP(D226,Сountries!V:Z,2,0)</f>
        <v>Oceania</v>
      </c>
      <c r="S226" s="15" t="str">
        <f>VLOOKUP(D226,Сountries!V:Z,3,0)</f>
        <v>Polynesia</v>
      </c>
      <c r="T226" s="15" t="str">
        <f>VLOOKUP(D226,Сountries!V:Z,5,0)</f>
        <v>🇼🇫</v>
      </c>
      <c r="U226" s="15" t="b">
        <f t="shared" si="3"/>
        <v>1</v>
      </c>
    </row>
    <row r="227" spans="1:21" ht="16" x14ac:dyDescent="0.2">
      <c r="A227" s="15">
        <v>226</v>
      </c>
      <c r="B227" s="15" t="s">
        <v>628</v>
      </c>
      <c r="C227" s="15" t="s">
        <v>622</v>
      </c>
      <c r="D227" s="16" t="s">
        <v>197</v>
      </c>
      <c r="E227" s="15" t="s">
        <v>1315</v>
      </c>
      <c r="F227" s="18">
        <v>9492</v>
      </c>
      <c r="G227" s="15" t="s">
        <v>470</v>
      </c>
      <c r="H227" s="15" t="s">
        <v>471</v>
      </c>
      <c r="I227" s="15">
        <v>316</v>
      </c>
      <c r="J227" s="15">
        <v>30</v>
      </c>
      <c r="K227" s="15" t="s">
        <v>472</v>
      </c>
      <c r="L227" s="15">
        <v>3.14</v>
      </c>
      <c r="M227" s="15">
        <v>24.2</v>
      </c>
      <c r="N227" s="21">
        <v>0.86</v>
      </c>
      <c r="O227" s="19">
        <v>1.1999999999999999E-6</v>
      </c>
      <c r="R227" s="15" t="str">
        <f>VLOOKUP(D227,Сountries!V:Z,2,0)</f>
        <v>Oceania</v>
      </c>
      <c r="S227" s="15" t="str">
        <f>VLOOKUP(D227,Сountries!V:Z,3,0)</f>
        <v>Polynesia</v>
      </c>
      <c r="T227" s="15" t="str">
        <f>VLOOKUP(D227,Сountries!V:Z,5,0)</f>
        <v>🇹🇻</v>
      </c>
      <c r="U227" s="15" t="b">
        <f t="shared" si="3"/>
        <v>1</v>
      </c>
    </row>
    <row r="228" spans="1:21" ht="16" x14ac:dyDescent="0.2">
      <c r="A228" s="15">
        <v>227</v>
      </c>
      <c r="B228" s="15" t="s">
        <v>625</v>
      </c>
      <c r="C228" s="15" t="s">
        <v>1356</v>
      </c>
      <c r="D228" s="16" t="s">
        <v>473</v>
      </c>
      <c r="E228" s="15" t="s">
        <v>1336</v>
      </c>
      <c r="F228" s="18">
        <v>5574</v>
      </c>
      <c r="G228" s="15" t="s">
        <v>474</v>
      </c>
      <c r="H228" s="15" t="s">
        <v>475</v>
      </c>
      <c r="I228" s="15">
        <v>24</v>
      </c>
      <c r="J228" s="15">
        <v>230</v>
      </c>
      <c r="K228" s="15" t="s">
        <v>476</v>
      </c>
      <c r="L228" s="15">
        <v>1.28</v>
      </c>
      <c r="M228" s="15">
        <v>47.2</v>
      </c>
      <c r="O228" s="19">
        <v>6.7999999999999995E-7</v>
      </c>
      <c r="R228" s="15" t="str">
        <f>VLOOKUP(D228,Сountries!V:Z,2,0)</f>
        <v>America</v>
      </c>
      <c r="S228" s="15" t="str">
        <f>VLOOKUP(D228,Сountries!V:Z,3,0)</f>
        <v>North America</v>
      </c>
      <c r="T228" s="15" t="str">
        <f>VLOOKUP(D228,Сountries!V:Z,5,0)</f>
        <v>🇵🇲</v>
      </c>
      <c r="U228" s="15" t="b">
        <f t="shared" si="3"/>
        <v>1</v>
      </c>
    </row>
    <row r="229" spans="1:21" ht="16" x14ac:dyDescent="0.2">
      <c r="A229" s="15">
        <v>228</v>
      </c>
      <c r="B229" s="15" t="s">
        <v>627</v>
      </c>
      <c r="C229" s="15" t="s">
        <v>602</v>
      </c>
      <c r="D229" s="16" t="s">
        <v>477</v>
      </c>
      <c r="E229" s="15" t="s">
        <v>1334</v>
      </c>
      <c r="F229" s="18">
        <v>5197</v>
      </c>
      <c r="G229" s="15" t="s">
        <v>338</v>
      </c>
      <c r="H229" s="15" t="s">
        <v>478</v>
      </c>
      <c r="I229" s="15">
        <v>13</v>
      </c>
      <c r="J229" s="15">
        <v>390</v>
      </c>
      <c r="K229" s="15">
        <v>1</v>
      </c>
      <c r="L229" s="15">
        <v>1.64</v>
      </c>
      <c r="M229" s="15">
        <v>50.9</v>
      </c>
      <c r="N229" s="19">
        <v>0.33400000000000002</v>
      </c>
      <c r="O229" s="19">
        <v>6.3E-7</v>
      </c>
      <c r="R229" s="15" t="str">
        <f>VLOOKUP(D229,Сountries!V:Z,2,0)</f>
        <v>Africa</v>
      </c>
      <c r="S229" s="15" t="str">
        <f>VLOOKUP(D229,Сountries!V:Z,3,0)</f>
        <v>Western Africa</v>
      </c>
      <c r="T229" s="15" t="str">
        <f>VLOOKUP(D229,Сountries!V:Z,5,0)</f>
        <v>🇸🇭</v>
      </c>
      <c r="U229" s="15" t="b">
        <f t="shared" si="3"/>
        <v>1</v>
      </c>
    </row>
    <row r="230" spans="1:21" ht="16" x14ac:dyDescent="0.2">
      <c r="A230" s="15">
        <v>229</v>
      </c>
      <c r="B230" s="15" t="s">
        <v>625</v>
      </c>
      <c r="C230" s="15" t="s">
        <v>1362</v>
      </c>
      <c r="D230" s="16" t="s">
        <v>479</v>
      </c>
      <c r="E230" s="15" t="s">
        <v>1378</v>
      </c>
      <c r="F230" s="18">
        <v>4359</v>
      </c>
      <c r="G230" s="15" t="s">
        <v>480</v>
      </c>
      <c r="H230" s="15" t="s">
        <v>481</v>
      </c>
      <c r="I230" s="15">
        <v>44</v>
      </c>
      <c r="J230" s="15">
        <v>100</v>
      </c>
      <c r="K230" s="15" t="s">
        <v>455</v>
      </c>
      <c r="L230" s="15">
        <v>1.45</v>
      </c>
      <c r="M230" s="15">
        <v>41.6</v>
      </c>
      <c r="N230" s="19">
        <v>0.115</v>
      </c>
      <c r="O230" s="19">
        <v>5.3000000000000001E-7</v>
      </c>
      <c r="R230" s="15" t="str">
        <f>VLOOKUP(D230,Сountries!V:Z,2,0)</f>
        <v>America</v>
      </c>
      <c r="S230" s="15" t="str">
        <f>VLOOKUP(D230,Сountries!V:Z,3,0)</f>
        <v>Latin America</v>
      </c>
      <c r="T230" s="15" t="str">
        <f>VLOOKUP(D230,Сountries!V:Z,5,0)</f>
        <v>🇲🇸</v>
      </c>
      <c r="U230" s="15" t="b">
        <f t="shared" si="3"/>
        <v>1</v>
      </c>
    </row>
    <row r="231" spans="1:21" ht="16" x14ac:dyDescent="0.2">
      <c r="A231" s="15">
        <v>230</v>
      </c>
      <c r="B231" s="15" t="s">
        <v>625</v>
      </c>
      <c r="C231" s="15" t="s">
        <v>1357</v>
      </c>
      <c r="D231" s="16" t="s">
        <v>482</v>
      </c>
      <c r="E231" s="15" t="s">
        <v>1354</v>
      </c>
      <c r="F231" s="18">
        <v>3469</v>
      </c>
      <c r="G231" s="15" t="s">
        <v>329</v>
      </c>
      <c r="H231" s="15" t="s">
        <v>483</v>
      </c>
      <c r="I231" s="15">
        <v>0</v>
      </c>
      <c r="J231" s="20">
        <v>12170</v>
      </c>
      <c r="K231" s="15" t="s">
        <v>484</v>
      </c>
      <c r="L231" s="15">
        <v>1.7</v>
      </c>
      <c r="M231" s="15">
        <v>42.8</v>
      </c>
      <c r="N231" s="21">
        <v>0.68</v>
      </c>
      <c r="O231" s="19">
        <v>4.2E-7</v>
      </c>
      <c r="R231" s="15" t="str">
        <f>VLOOKUP(D231,Сountries!V:Z,2,0)</f>
        <v>America</v>
      </c>
      <c r="S231" s="15" t="str">
        <f>VLOOKUP(D231,Сountries!V:Z,3,0)</f>
        <v>Sauth America</v>
      </c>
      <c r="T231" s="15" t="str">
        <f>VLOOKUP(D231,Сountries!V:Z,5,0)</f>
        <v>🇫🇰</v>
      </c>
      <c r="U231" s="15" t="b">
        <f t="shared" si="3"/>
        <v>1</v>
      </c>
    </row>
    <row r="232" spans="1:21" ht="16" x14ac:dyDescent="0.2">
      <c r="A232" s="15">
        <v>231</v>
      </c>
      <c r="B232" s="15" t="s">
        <v>628</v>
      </c>
      <c r="C232" s="15" t="s">
        <v>622</v>
      </c>
      <c r="D232" s="16" t="s">
        <v>485</v>
      </c>
      <c r="E232" s="15" t="s">
        <v>1379</v>
      </c>
      <c r="F232" s="18">
        <v>2608</v>
      </c>
      <c r="G232" s="19">
        <v>4.07E-2</v>
      </c>
      <c r="H232" s="15">
        <v>102</v>
      </c>
      <c r="I232" s="15">
        <v>261</v>
      </c>
      <c r="J232" s="15">
        <v>10</v>
      </c>
      <c r="K232" s="15">
        <v>53</v>
      </c>
      <c r="L232" s="15">
        <v>2.57</v>
      </c>
      <c r="M232" s="15">
        <v>27.3</v>
      </c>
      <c r="O232" s="19">
        <v>3.2000000000000001E-7</v>
      </c>
      <c r="R232" s="15" t="str">
        <f>VLOOKUP(D232,Сountries!V:Z,2,0)</f>
        <v>Oceania</v>
      </c>
      <c r="S232" s="15" t="str">
        <f>VLOOKUP(D232,Сountries!V:Z,3,0)</f>
        <v>Polynesia</v>
      </c>
      <c r="T232" s="15" t="str">
        <f>VLOOKUP(D232,Сountries!V:Z,5,0)</f>
        <v>🇹🇰</v>
      </c>
      <c r="U232" s="15" t="b">
        <f t="shared" si="3"/>
        <v>1</v>
      </c>
    </row>
    <row r="233" spans="1:21" ht="16" x14ac:dyDescent="0.2">
      <c r="A233" s="15">
        <v>232</v>
      </c>
      <c r="B233" s="15" t="s">
        <v>628</v>
      </c>
      <c r="C233" s="15" t="s">
        <v>622</v>
      </c>
      <c r="D233" s="16" t="s">
        <v>486</v>
      </c>
      <c r="E233" s="15" t="s">
        <v>1380</v>
      </c>
      <c r="F233" s="18">
        <v>1821</v>
      </c>
      <c r="G233" s="19">
        <v>1.1000000000000001E-3</v>
      </c>
      <c r="H233" s="15">
        <v>2</v>
      </c>
      <c r="I233" s="15">
        <v>7</v>
      </c>
      <c r="J233" s="15">
        <v>260</v>
      </c>
      <c r="K233" s="15">
        <v>3</v>
      </c>
      <c r="L233" s="15">
        <v>2.46</v>
      </c>
      <c r="M233" s="15">
        <v>35.700000000000003</v>
      </c>
      <c r="N233" s="19">
        <v>0.44500000000000001</v>
      </c>
      <c r="O233" s="19">
        <v>2.2000000000000001E-7</v>
      </c>
      <c r="R233" s="15" t="str">
        <f>VLOOKUP(D233,Сountries!V:Z,2,0)</f>
        <v>Oceania</v>
      </c>
      <c r="S233" s="15" t="str">
        <f>VLOOKUP(D233,Сountries!V:Z,3,0)</f>
        <v>Polynesia</v>
      </c>
      <c r="T233" s="15" t="str">
        <f>VLOOKUP(D233,Сountries!V:Z,5,0)</f>
        <v>🇳🇺</v>
      </c>
      <c r="U233" s="15" t="b">
        <f t="shared" si="3"/>
        <v>1</v>
      </c>
    </row>
    <row r="234" spans="1:21" ht="16" x14ac:dyDescent="0.2">
      <c r="A234" s="15">
        <v>233</v>
      </c>
      <c r="B234" s="15" t="s">
        <v>626</v>
      </c>
      <c r="C234" s="15" t="s">
        <v>616</v>
      </c>
      <c r="D234" s="16" t="s">
        <v>198</v>
      </c>
      <c r="E234" s="15" t="s">
        <v>1218</v>
      </c>
      <c r="F234" s="22">
        <v>501</v>
      </c>
      <c r="G234" s="19">
        <v>1.01E-2</v>
      </c>
      <c r="H234" s="15">
        <v>5</v>
      </c>
      <c r="I234" s="20">
        <v>1253</v>
      </c>
      <c r="J234" s="15">
        <v>0</v>
      </c>
      <c r="K234" s="15">
        <v>13</v>
      </c>
      <c r="L234" s="15">
        <v>1</v>
      </c>
      <c r="M234" s="15">
        <v>57.4</v>
      </c>
      <c r="O234" s="19">
        <v>6.1000000000000004E-8</v>
      </c>
      <c r="R234" s="15" t="str">
        <f>VLOOKUP(D234,Сountries!V:Z,2,0)</f>
        <v>Europe</v>
      </c>
      <c r="S234" s="15" t="str">
        <f>VLOOKUP(D234,Сountries!V:Z,3,0)</f>
        <v>Southern Europe</v>
      </c>
      <c r="T234" s="15" t="str">
        <f>VLOOKUP(D234,Сountries!V:Z,5,0)</f>
        <v>🇻🇦</v>
      </c>
      <c r="U234" s="15" t="b">
        <f t="shared" si="3"/>
        <v>1</v>
      </c>
    </row>
  </sheetData>
  <autoFilter ref="A1:T234" xr:uid="{478941A5-0A0F-F444-A782-1811AE317BE7}"/>
  <hyperlinks>
    <hyperlink ref="D2" r:id="rId1" display="https://www.worldometers.info/world-population/india-population/" xr:uid="{7187BC2F-B755-AB4A-938B-9799940B43A6}"/>
    <hyperlink ref="D3" r:id="rId2" display="https://www.worldometers.info/world-population/china-population/" xr:uid="{51AE8EDF-9E93-FF4F-8BEB-22F16DB71A5C}"/>
    <hyperlink ref="D4" r:id="rId3" display="https://www.worldometers.info/world-population/us-population/" xr:uid="{3731D840-328E-804D-86FB-A0E41EFD1E73}"/>
    <hyperlink ref="D5" r:id="rId4" display="https://www.worldometers.info/world-population/indonesia-population/" xr:uid="{B4A2DEC9-0A48-0A44-8FC4-26872E5A7244}"/>
    <hyperlink ref="D6" r:id="rId5" display="https://www.worldometers.info/world-population/pakistan-population/" xr:uid="{DB7F12F5-A1EC-3144-93F7-6B631C1967AB}"/>
    <hyperlink ref="D7" r:id="rId6" display="https://www.worldometers.info/world-population/nigeria-population/" xr:uid="{F567C416-A9D5-DA45-BC0E-E33043518298}"/>
    <hyperlink ref="D8" r:id="rId7" display="https://www.worldometers.info/world-population/brazil-population/" xr:uid="{79BED7DD-B580-E44E-80B1-BDF945E071FF}"/>
    <hyperlink ref="D9" r:id="rId8" display="https://www.worldometers.info/world-population/bangladesh-population/" xr:uid="{740AA3DC-06F6-EE45-AFEE-1C5A244395BC}"/>
    <hyperlink ref="D10" r:id="rId9" display="https://www.worldometers.info/world-population/russia-population/" xr:uid="{EA371801-C018-E94B-9586-2990E835C675}"/>
    <hyperlink ref="D11" r:id="rId10" display="https://www.worldometers.info/world-population/ethiopia-population/" xr:uid="{88A54DB3-ADCE-194A-B3FF-D3DF4A426DEC}"/>
    <hyperlink ref="D12" r:id="rId11" display="https://www.worldometers.info/world-population/mexico-population/" xr:uid="{AA757CDE-9888-8A4E-AB8E-40D598452AD3}"/>
    <hyperlink ref="D13" r:id="rId12" display="https://www.worldometers.info/world-population/japan-population/" xr:uid="{6B60401A-CC0B-C145-9225-A0C3275FE670}"/>
    <hyperlink ref="D14" r:id="rId13" display="https://www.worldometers.info/world-population/egypt-population/" xr:uid="{B22D2065-68A8-2A4C-82E7-53BACE1049E7}"/>
    <hyperlink ref="D15" r:id="rId14" display="https://www.worldometers.info/world-population/philippines-population/" xr:uid="{99069652-4BF1-814B-B0E2-5C15FA6CD109}"/>
    <hyperlink ref="D16" r:id="rId15" display="https://www.worldometers.info/world-population/democratic-republic-of-the-congo-population/" xr:uid="{285295B5-A497-A544-9C12-3D0AA32341D9}"/>
    <hyperlink ref="D17" r:id="rId16" display="https://www.worldometers.info/world-population/vietnam-population/" xr:uid="{AD180858-98E9-7B4A-83D1-C4E12535300A}"/>
    <hyperlink ref="D18" r:id="rId17" display="https://www.worldometers.info/world-population/iran-population/" xr:uid="{91945988-2BE0-C641-BB7E-039EE04CE1B9}"/>
    <hyperlink ref="D19" r:id="rId18" display="https://www.worldometers.info/world-population/turkey-population/" xr:uid="{17A36DB4-CC0A-7347-ADCE-155A466E1172}"/>
    <hyperlink ref="D20" r:id="rId19" display="https://www.worldometers.info/world-population/germany-population/" xr:uid="{A2EF9B02-6A93-DA4C-9819-ED3CEB065819}"/>
    <hyperlink ref="D21" r:id="rId20" display="https://www.worldometers.info/world-population/thailand-population/" xr:uid="{41CB1326-12C7-5844-9219-88B2B7E97751}"/>
    <hyperlink ref="D22" r:id="rId21" display="https://www.worldometers.info/world-population/tanzania-population/" xr:uid="{51CFF19F-FC15-8B47-831E-9537C2F1D0F5}"/>
    <hyperlink ref="D23" r:id="rId22" display="https://www.worldometers.info/world-population/uk-population/" xr:uid="{6FB32B1B-DCDA-514F-AFDC-5AAB25DD0A93}"/>
    <hyperlink ref="D24" r:id="rId23" display="https://www.worldometers.info/world-population/france-population/" xr:uid="{AEB4858C-A52A-464C-B14D-E90FE9813B54}"/>
    <hyperlink ref="D25" r:id="rId24" display="https://www.worldometers.info/world-population/south-africa-population/" xr:uid="{B480F6AE-54EC-124E-B64D-2F40763CD09D}"/>
    <hyperlink ref="D26" r:id="rId25" display="https://www.worldometers.info/world-population/italy-population/" xr:uid="{8CF6D740-FD19-4B46-A9AC-6E2654FE4703}"/>
    <hyperlink ref="D27" r:id="rId26" display="https://www.worldometers.info/world-population/kenya-population/" xr:uid="{A51B02C5-D964-5742-93AD-CE8CEB5A3A6F}"/>
    <hyperlink ref="D28" r:id="rId27" display="https://www.worldometers.info/world-population/myanmar-population/" xr:uid="{E290C1C3-5F6D-5044-A6BB-AE56CDFCEC37}"/>
    <hyperlink ref="D29" r:id="rId28" display="https://www.worldometers.info/world-population/colombia-population/" xr:uid="{F39A30A5-1F42-B04E-86DB-DBC4C38874DB}"/>
    <hyperlink ref="D30" r:id="rId29" display="https://www.worldometers.info/world-population/south-korea-population/" xr:uid="{5FAC721C-37BC-0549-A397-CC74A121DBDF}"/>
    <hyperlink ref="D31" r:id="rId30" display="https://www.worldometers.info/world-population/sudan-population/" xr:uid="{D3853344-B19F-A74D-90C4-CF2BA384E942}"/>
    <hyperlink ref="D32" r:id="rId31" display="https://www.worldometers.info/world-population/uganda-population/" xr:uid="{A16E5E57-74DC-1E4D-95CC-02927CDBDF1F}"/>
    <hyperlink ref="D33" r:id="rId32" display="https://www.worldometers.info/world-population/spain-population/" xr:uid="{2F4CC373-CB9E-AD47-988B-88863B1CD0D5}"/>
    <hyperlink ref="D34" r:id="rId33" display="https://www.worldometers.info/world-population/algeria-population/" xr:uid="{EE7B46E5-D29F-1847-A33F-98B33AEE8533}"/>
    <hyperlink ref="D35" r:id="rId34" display="https://www.worldometers.info/world-population/iraq-population/" xr:uid="{D3762541-42ED-7B47-9754-3ABCA667A84F}"/>
    <hyperlink ref="D36" r:id="rId35" display="https://www.worldometers.info/world-population/argentina-population/" xr:uid="{2E20665C-81F5-8240-9883-D304DA5CDD16}"/>
    <hyperlink ref="D37" r:id="rId36" display="https://www.worldometers.info/world-population/afghanistan-population/" xr:uid="{2202B62E-777A-B047-85FD-E21A04D3FE53}"/>
    <hyperlink ref="D38" r:id="rId37" display="https://www.worldometers.info/world-population/yemen-population/" xr:uid="{DC1F6CA6-F3DE-2D4D-9971-7DF26860E23D}"/>
    <hyperlink ref="D39" r:id="rId38" display="https://www.worldometers.info/world-population/canada-population/" xr:uid="{A617A887-5323-B542-BE32-270FF70230F9}"/>
    <hyperlink ref="D40" r:id="rId39" display="https://www.worldometers.info/world-population/angola-population/" xr:uid="{5FB75BD6-22A4-B744-B8D3-F8B14B9C3E3E}"/>
    <hyperlink ref="D41" r:id="rId40" display="https://www.worldometers.info/world-population/ukraine-population/" xr:uid="{572E1F6B-056A-9141-B34C-B4AE90B507D6}"/>
    <hyperlink ref="D42" r:id="rId41" display="https://www.worldometers.info/world-population/morocco-population/" xr:uid="{7F9A560B-5555-6943-AEE4-F0E991CA6636}"/>
    <hyperlink ref="D43" r:id="rId42" display="https://www.worldometers.info/world-population/poland-population/" xr:uid="{B82E0824-AE68-1B4C-879F-93449855744D}"/>
    <hyperlink ref="D44" r:id="rId43" display="https://www.worldometers.info/world-population/uzbekistan-population/" xr:uid="{C4CA11A1-7CDE-D94D-A0B8-3527E707B76E}"/>
    <hyperlink ref="D45" r:id="rId44" display="https://www.worldometers.info/world-population/malaysia-population/" xr:uid="{CF4E2652-D740-2C4D-B346-EEC2CEC92D7A}"/>
    <hyperlink ref="D46" r:id="rId45" display="https://www.worldometers.info/world-population/mozambique-population/" xr:uid="{4634472F-D4A7-9441-A2EE-6E6B8288E104}"/>
    <hyperlink ref="D47" r:id="rId46" display="https://www.worldometers.info/world-population/ghana-population/" xr:uid="{01E77BA0-7905-E74C-B75F-1390EC386EF6}"/>
    <hyperlink ref="D48" r:id="rId47" display="https://www.worldometers.info/world-population/peru-population/" xr:uid="{F73E39C1-FFB7-C245-8FD9-192EEE43263A}"/>
    <hyperlink ref="D49" r:id="rId48" display="https://www.worldometers.info/world-population/saudi-arabia-population/" xr:uid="{32002C1F-09F9-8A4C-AF1C-39769DD81E50}"/>
    <hyperlink ref="D50" r:id="rId49" display="https://www.worldometers.info/world-population/madagascar-population/" xr:uid="{CB9CC840-8CC1-CF4E-BEDA-5C614B573CEE}"/>
    <hyperlink ref="D51" r:id="rId50" display="https://www.worldometers.info/world-population/cote-d-ivoire-population/" xr:uid="{42D5D327-E7CB-C44D-BE6E-7AD6A6854553}"/>
    <hyperlink ref="D52" r:id="rId51" display="https://www.worldometers.info/world-population/cameroon-population/" xr:uid="{CE27DFF9-49C9-B148-84A9-1FFD8FF6C079}"/>
    <hyperlink ref="D53" r:id="rId52" display="https://www.worldometers.info/world-population/nepal-population/" xr:uid="{8C8E7DF1-80D8-C14F-B423-5A8F624D19BF}"/>
    <hyperlink ref="D54" r:id="rId53" display="https://www.worldometers.info/world-population/venezuela-population/" xr:uid="{515F65D7-2BE3-4A4C-AC41-671B05DA5021}"/>
    <hyperlink ref="D55" r:id="rId54" display="https://www.worldometers.info/world-population/niger-population/" xr:uid="{16149249-D911-1942-A73B-7C40E82E8BF0}"/>
    <hyperlink ref="D56" r:id="rId55" display="https://www.worldometers.info/world-population/australia-population/" xr:uid="{A4EE065F-BAD7-CD4D-9D72-7D789BCEAB87}"/>
    <hyperlink ref="D57" r:id="rId56" display="https://www.worldometers.info/world-population/north-korea-population/" xr:uid="{AFD5E7EF-D805-4642-9E1B-46550773005A}"/>
    <hyperlink ref="D58" r:id="rId57" display="https://www.worldometers.info/world-population/syria-population/" xr:uid="{74ED7DD3-3D0D-7946-A737-95F90B2387F4}"/>
    <hyperlink ref="D59" r:id="rId58" display="https://www.worldometers.info/world-population/mali-population/" xr:uid="{3DB48134-80AC-2E4B-8230-9377DBAB0666}"/>
    <hyperlink ref="D60" r:id="rId59" display="https://www.worldometers.info/world-population/burkina-faso-population/" xr:uid="{2D374079-98BD-C144-8734-06447560652A}"/>
    <hyperlink ref="D61" r:id="rId60" display="https://www.worldometers.info/world-population/sri-lanka-population/" xr:uid="{7A0C8080-4435-7148-88D5-6B949DB9438D}"/>
    <hyperlink ref="D62" r:id="rId61" display="https://www.worldometers.info/world-population/taiwan-population/" xr:uid="{13C4CF6C-F69C-A247-AED6-8283E3FB49EC}"/>
    <hyperlink ref="D63" r:id="rId62" display="https://www.worldometers.info/world-population/malawi-population/" xr:uid="{F739A54C-0745-7A49-9179-5E68F656F193}"/>
    <hyperlink ref="D64" r:id="rId63" display="https://www.worldometers.info/world-population/zambia-population/" xr:uid="{942489DA-05DE-8347-AEA6-7F3EADF947C4}"/>
    <hyperlink ref="D65" r:id="rId64" display="https://www.worldometers.info/world-population/chad-population/" xr:uid="{2300C3C5-F5BA-7C4F-BAE5-810BC5DFC1E6}"/>
    <hyperlink ref="D66" r:id="rId65" display="https://www.worldometers.info/world-population/kazakhstan-population/" xr:uid="{81483EA2-47AC-9C4E-B8D5-68C56A1025CD}"/>
    <hyperlink ref="D67" r:id="rId66" display="https://www.worldometers.info/world-population/chile-population/" xr:uid="{2BC0B1D0-AECA-F940-9C48-8F49DAA899BA}"/>
    <hyperlink ref="D68" r:id="rId67" display="https://www.worldometers.info/world-population/somalia-population/" xr:uid="{3803AA4A-3BC4-C04D-AD53-C294BF48376D}"/>
    <hyperlink ref="D69" r:id="rId68" display="https://www.worldometers.info/world-population/senegal-population/" xr:uid="{F0FA4BC0-784B-6C49-8C72-0479488F958C}"/>
    <hyperlink ref="D70" r:id="rId69" display="https://www.worldometers.info/world-population/romania-population/" xr:uid="{8DEC74F7-5D5C-FC44-8F51-3D6F2B19604F}"/>
    <hyperlink ref="D71" r:id="rId70" display="https://www.worldometers.info/world-population/guatemala-population/" xr:uid="{064CC578-1CBB-2F4C-BE64-FEC4B90BC3EC}"/>
    <hyperlink ref="D72" r:id="rId71" display="https://www.worldometers.info/world-population/netherlands-population/" xr:uid="{AA63F900-A591-8D40-B354-C90FC507D773}"/>
    <hyperlink ref="D73" r:id="rId72" display="https://www.worldometers.info/world-population/ecuador-population/" xr:uid="{F13E87A7-3181-1E47-A621-24E3D497B7A8}"/>
    <hyperlink ref="D74" r:id="rId73" display="https://www.worldometers.info/world-population/cambodia-population/" xr:uid="{83EBBC03-A484-284D-80C1-6F5254D155AB}"/>
    <hyperlink ref="D75" r:id="rId74" display="https://www.worldometers.info/world-population/zimbabwe-population/" xr:uid="{48F07611-06DE-D843-8F95-E17ACBC1ECC0}"/>
    <hyperlink ref="D76" r:id="rId75" display="https://www.worldometers.info/world-population/guinea-population/" xr:uid="{CF9C1DBB-C164-E14C-9EDA-50781C54275C}"/>
    <hyperlink ref="D77" r:id="rId76" display="https://www.worldometers.info/world-population/benin-population/" xr:uid="{9D564861-57A4-5849-9148-6A1E57B01CF5}"/>
    <hyperlink ref="D78" r:id="rId77" display="https://www.worldometers.info/world-population/rwanda-population/" xr:uid="{19BAC051-FB66-C14B-8BBE-C0359F6B2DF2}"/>
    <hyperlink ref="D79" r:id="rId78" display="https://www.worldometers.info/world-population/burundi-population/" xr:uid="{C924D4E5-EB93-6142-A3C4-1E6C8B0787AE}"/>
    <hyperlink ref="D80" r:id="rId79" display="https://www.worldometers.info/world-population/bolivia-population/" xr:uid="{FEA3CFD1-FE20-7A4C-B584-72759F0A3F04}"/>
    <hyperlink ref="D81" r:id="rId80" display="https://www.worldometers.info/world-population/tunisia-population/" xr:uid="{9C629E0A-4877-A74B-95A1-657D01FEFBA6}"/>
    <hyperlink ref="D82" r:id="rId81" display="https://www.worldometers.info/world-population/south-sudan-population/" xr:uid="{50B2B17A-E399-3E48-B5FE-1411C2DFC151}"/>
    <hyperlink ref="D83" r:id="rId82" display="https://www.worldometers.info/world-population/haiti-population/" xr:uid="{34AE3DC0-5A3C-C149-AB19-D111B143F375}"/>
    <hyperlink ref="D84" r:id="rId83" display="https://www.worldometers.info/world-population/belgium-population/" xr:uid="{7B817DF4-F481-5242-887F-4B1008F70A7F}"/>
    <hyperlink ref="D85" r:id="rId84" display="https://www.worldometers.info/world-population/jordan-population/" xr:uid="{6885A1C3-832D-9A46-ACE9-1473A4334D9A}"/>
    <hyperlink ref="D86" r:id="rId85" display="https://www.worldometers.info/world-population/dominican-republic-population/" xr:uid="{CAE44D4A-FF61-6449-8B61-7417D661C7FD}"/>
    <hyperlink ref="D87" r:id="rId86" display="https://www.worldometers.info/world-population/united-arab-emirates-population/" xr:uid="{9BA1DB0A-0D8D-4348-9AD3-ED8D2C3FD06B}"/>
    <hyperlink ref="D88" r:id="rId87" display="https://www.worldometers.info/world-population/honduras-population/" xr:uid="{A701D622-C2A9-954D-8F7E-D98CEBF67C32}"/>
    <hyperlink ref="D89" r:id="rId88" display="https://www.worldometers.info/world-population/cuba-population/" xr:uid="{B3FE8D6F-40E6-6842-9FC7-D4F2BAC36EBB}"/>
    <hyperlink ref="D90" r:id="rId89" display="https://www.worldometers.info/world-population/tajikistan-population/" xr:uid="{5DCF636D-EC9F-2445-B2AA-A4565B07B4F9}"/>
    <hyperlink ref="D91" r:id="rId90" display="https://www.worldometers.info/world-population/papua-new-guinea-population/" xr:uid="{75028F1A-0A2B-884A-97C4-CBAF3FC9BD3D}"/>
    <hyperlink ref="D92" r:id="rId91" display="https://www.worldometers.info/world-population/sweden-population/" xr:uid="{ED1F718B-0B42-9745-B0C3-A5AD0C0B3521}"/>
    <hyperlink ref="D93" r:id="rId92" display="https://www.worldometers.info/world-population/czechia-population/" xr:uid="{7259A857-E5E3-D442-A552-A1ACF6EFF8F9}"/>
    <hyperlink ref="D94" r:id="rId93" display="https://www.worldometers.info/world-population/portugal-population/" xr:uid="{7B44D6BF-1BC6-6B43-915E-DB23EBE5101E}"/>
    <hyperlink ref="D95" r:id="rId94" display="https://www.worldometers.info/world-population/azerbaijan-population/" xr:uid="{642BF089-B509-A54B-8981-0AEEC4E7BAD6}"/>
    <hyperlink ref="D96" r:id="rId95" display="https://www.worldometers.info/world-population/greece-population/" xr:uid="{15623101-D19E-684B-A9E7-5F407003ABFF}"/>
    <hyperlink ref="D97" r:id="rId96" display="https://www.worldometers.info/world-population/togo-population/" xr:uid="{FFD7B045-DAD3-724A-A9CD-E00187425141}"/>
    <hyperlink ref="D98" r:id="rId97" display="https://www.worldometers.info/world-population/hungary-population/" xr:uid="{23C2A1FC-F381-8C47-B1DD-980EEA3320B8}"/>
    <hyperlink ref="D99" r:id="rId98" display="https://www.worldometers.info/world-population/israel-population/" xr:uid="{62978F0D-783D-D044-B717-62B4B190C9FA}"/>
    <hyperlink ref="D100" r:id="rId99" display="https://www.worldometers.info/world-population/austria-population/" xr:uid="{60E9402C-C545-FE4D-A009-77186DCD6510}"/>
    <hyperlink ref="D101" r:id="rId100" display="https://www.worldometers.info/world-population/belarus-population/" xr:uid="{23908D64-3761-A943-8CC1-98A83ED26801}"/>
    <hyperlink ref="D102" r:id="rId101" display="https://www.worldometers.info/world-population/switzerland-population/" xr:uid="{CA70CD7F-7318-0D4F-80FF-693FC2BB69A5}"/>
    <hyperlink ref="D103" r:id="rId102" display="https://www.worldometers.info/world-population/sierra-leone-population/" xr:uid="{4E3DEF80-F32F-5247-A1C7-71B2AED6EECB}"/>
    <hyperlink ref="D104" r:id="rId103" display="https://www.worldometers.info/world-population/laos-population/" xr:uid="{C64A0C42-0059-5C48-AB0A-CA1F4D8455EC}"/>
    <hyperlink ref="D105" r:id="rId104" display="https://www.worldometers.info/world-population/turkmenistan-population/" xr:uid="{7F6CBF34-4F0A-084F-AF2B-577C06395054}"/>
    <hyperlink ref="D106" r:id="rId105" display="https://www.worldometers.info/world-population/libya-population/" xr:uid="{1A4D298B-4595-2144-BA45-072A0C8101FB}"/>
    <hyperlink ref="D107" r:id="rId106" display="https://www.worldometers.info/world-population/china-hong-kong-sar-population/" xr:uid="{9D5E21F0-D83A-174D-9321-F659234BD144}"/>
    <hyperlink ref="D108" r:id="rId107" display="https://www.worldometers.info/world-population/kyrgyzstan-population/" xr:uid="{DFD9D07B-51E6-A248-92B0-D79D259AD671}"/>
    <hyperlink ref="D109" r:id="rId108" display="https://www.worldometers.info/world-population/paraguay-population/" xr:uid="{24870002-2B20-6D46-B1EE-BEF1AFEDF363}"/>
    <hyperlink ref="D110" r:id="rId109" display="https://www.worldometers.info/world-population/nicaragua-population/" xr:uid="{BA8B34F3-752D-5B4B-91F6-0F19D5F106A1}"/>
    <hyperlink ref="D111" r:id="rId110" display="https://www.worldometers.info/world-population/bulgaria-population/" xr:uid="{CD3ABBFF-5C12-5D46-94DE-1825BC65FC1C}"/>
    <hyperlink ref="D112" r:id="rId111" display="https://www.worldometers.info/world-population/serbia-population/" xr:uid="{1E523467-3F96-564B-91FD-E4A411A3F69A}"/>
    <hyperlink ref="D113" r:id="rId112" display="https://www.worldometers.info/world-population/congo-population/" xr:uid="{B2377227-D7A0-8F42-8A9D-C1D56024B422}"/>
    <hyperlink ref="D114" r:id="rId113" display="https://www.worldometers.info/world-population/el-salvador-population/" xr:uid="{96D6D9EF-4B62-704B-9B24-92C8E165128D}"/>
    <hyperlink ref="D115" r:id="rId114" display="https://www.worldometers.info/world-population/denmark-population/" xr:uid="{3EE90DD2-3BF5-D443-A3D4-C511C36C94C4}"/>
    <hyperlink ref="D116" r:id="rId115" display="https://www.worldometers.info/world-population/singapore-population/" xr:uid="{E3CCBC3B-83AB-1E49-B13F-C1A94236FC49}"/>
    <hyperlink ref="D117" r:id="rId116" display="https://www.worldometers.info/world-population/lebanon-population/" xr:uid="{05BFF4AB-7F11-9D42-94AB-4E72BDEEB9F4}"/>
    <hyperlink ref="D118" r:id="rId117" display="https://www.worldometers.info/world-population/liberia-population/" xr:uid="{A6C3B3FD-CE31-674E-842F-22BD61E44F1A}"/>
    <hyperlink ref="D119" r:id="rId118" display="https://www.worldometers.info/world-population/finland-population/" xr:uid="{C32435BB-6043-1A46-B200-49294CA87BC0}"/>
    <hyperlink ref="D120" r:id="rId119" display="https://www.worldometers.info/world-population/norway-population/" xr:uid="{599A9D0F-25FD-084E-B5AA-3B7E2FF6E5AF}"/>
    <hyperlink ref="D121" r:id="rId120" display="https://www.worldometers.info/world-population/state-of-palestine-population/" xr:uid="{AF7ED0A0-2F5F-3E49-B965-68AB8E3F71D5}"/>
    <hyperlink ref="D122" r:id="rId121" display="https://www.worldometers.info/world-population/central-african-republic-population/" xr:uid="{37E05C14-243C-C144-9B2D-C4925D5C16E8}"/>
    <hyperlink ref="D123" r:id="rId122" display="https://www.worldometers.info/world-population/oman-population/" xr:uid="{1BD7DADA-FD0D-4C45-A946-1289B6A42B3B}"/>
    <hyperlink ref="D124" r:id="rId123" display="https://www.worldometers.info/world-population/slovakia-population/" xr:uid="{D3155A65-51B8-C546-ABC3-CFAAA6DD66A2}"/>
    <hyperlink ref="D125" r:id="rId124" display="https://www.worldometers.info/world-population/mauritania-population/" xr:uid="{F6CFE79D-69D0-964F-B3EA-256B64A6BADA}"/>
    <hyperlink ref="D126" r:id="rId125" display="https://www.worldometers.info/world-population/ireland-population/" xr:uid="{901EC46D-DE5D-A847-8EA4-75724E3E284D}"/>
    <hyperlink ref="D127" r:id="rId126" display="https://www.worldometers.info/world-population/new-zealand-population/" xr:uid="{9D7211ED-F50F-B549-BB79-FA719FC1FF1C}"/>
    <hyperlink ref="D128" r:id="rId127" display="https://www.worldometers.info/world-population/costa-rica-population/" xr:uid="{8703B7CD-1F1C-D44D-88BE-D1814EE4DEE0}"/>
    <hyperlink ref="D129" r:id="rId128" display="https://www.worldometers.info/world-population/kuwait-population/" xr:uid="{3F5FFBA5-266C-1245-AF4E-D6B1377D2990}"/>
    <hyperlink ref="D130" r:id="rId129" display="https://www.worldometers.info/world-population/panama-population/" xr:uid="{86A1ED89-3E09-3945-BE41-B1F6CBFB97C5}"/>
    <hyperlink ref="D131" r:id="rId130" display="https://www.worldometers.info/world-population/croatia-population/" xr:uid="{2468ECDC-5DF1-A547-A8B1-38F051083625}"/>
    <hyperlink ref="D132" r:id="rId131" display="https://www.worldometers.info/world-population/georgia-population/" xr:uid="{FA8C3B8F-4912-1F4F-B230-F0E1E7148DAC}"/>
    <hyperlink ref="D133" r:id="rId132" display="https://www.worldometers.info/world-population/eritrea-population/" xr:uid="{230E0BD8-D584-304E-BBBE-4C6F5C1E6B53}"/>
    <hyperlink ref="D134" r:id="rId133" display="https://www.worldometers.info/world-population/mongolia-population/" xr:uid="{92E85A91-54BB-3148-A073-4EF3761456BF}"/>
    <hyperlink ref="D135" r:id="rId134" display="https://www.worldometers.info/world-population/uruguay-population/" xr:uid="{5CC7F661-ECB7-D949-837A-E1E698EC9690}"/>
    <hyperlink ref="D136" r:id="rId135" display="https://www.worldometers.info/world-population/puerto-rico-population/" xr:uid="{C71852E0-4D35-6F48-899F-395A1A16E8AF}"/>
    <hyperlink ref="D137" r:id="rId136" display="https://www.worldometers.info/world-population/bosnia-and-herzegovina-population/" xr:uid="{17C3A157-2672-C546-914C-11AFF80B4FCF}"/>
    <hyperlink ref="D138" r:id="rId137" display="https://www.worldometers.info/world-population/qatar-population/" xr:uid="{6C454379-DF62-3740-B1B2-41E9B65AE4D3}"/>
    <hyperlink ref="D139" r:id="rId138" display="https://www.worldometers.info/world-population/namibia-population/" xr:uid="{CCAC94AE-8D15-E94F-9164-ADDDC842D03E}"/>
    <hyperlink ref="D140" r:id="rId139" display="https://www.worldometers.info/world-population/moldova-population/" xr:uid="{9625DB28-77A7-1E4F-A7F2-0B437CFA5A14}"/>
    <hyperlink ref="D141" r:id="rId140" display="https://www.worldometers.info/world-population/armenia-population/" xr:uid="{146C7FF2-ADA1-8544-A0FC-363C732A5AD5}"/>
    <hyperlink ref="D142" r:id="rId141" display="https://www.worldometers.info/world-population/jamaica-population/" xr:uid="{C8F097D5-979A-9C47-B043-36BF79962180}"/>
    <hyperlink ref="D143" r:id="rId142" display="https://www.worldometers.info/world-population/lithuania-population/" xr:uid="{7ABAE46D-9B7A-EF47-AA8B-F1F3475C7EA1}"/>
    <hyperlink ref="D144" r:id="rId143" display="https://www.worldometers.info/world-population/gambia-population/" xr:uid="{903634CD-26FE-954A-98DC-2AC1EEDFC754}"/>
    <hyperlink ref="D145" r:id="rId144" display="https://www.worldometers.info/world-population/albania-population/" xr:uid="{C126BECE-6E10-A54F-B4C7-30DAC710364F}"/>
    <hyperlink ref="D146" r:id="rId145" display="https://www.worldometers.info/world-population/gabon-population/" xr:uid="{FEF6B28D-B642-7247-9C0C-33DBB5D7EFDF}"/>
    <hyperlink ref="D147" r:id="rId146" display="https://www.worldometers.info/world-population/botswana-population/" xr:uid="{075A4D75-EFC6-1344-954E-05C0613318B2}"/>
    <hyperlink ref="D148" r:id="rId147" display="https://www.worldometers.info/world-population/lesotho-population/" xr:uid="{5FC095BE-EBB9-DD4F-905B-9BBAED51FDAD}"/>
    <hyperlink ref="D149" r:id="rId148" display="https://www.worldometers.info/world-population/guinea-bissau-population/" xr:uid="{E47AD561-FF4D-5B4E-B7EB-B170F9A5BC5D}"/>
    <hyperlink ref="D150" r:id="rId149" display="https://www.worldometers.info/world-population/slovenia-population/" xr:uid="{8A2D279E-86BF-924A-83D5-983BB35A92F0}"/>
    <hyperlink ref="D151" r:id="rId150" display="https://www.worldometers.info/world-population/equatorial-guinea-population/" xr:uid="{E167643B-CE7A-FE41-BC4C-9F11AD816BD6}"/>
    <hyperlink ref="D152" r:id="rId151" display="https://www.worldometers.info/world-population/latvia-population/" xr:uid="{FB08D1C1-AD4F-F649-9EBD-1331837795E5}"/>
    <hyperlink ref="D153" r:id="rId152" display="https://www.worldometers.info/world-population/north-macedonia-population/" xr:uid="{2D725549-AA9C-6049-8E26-A1FC3D967AA0}"/>
    <hyperlink ref="D154" r:id="rId153" display="https://www.worldometers.info/world-population/bahrain-population/" xr:uid="{43A9AE6C-E9C8-8443-B783-358AFC64C483}"/>
    <hyperlink ref="D155" r:id="rId154" display="https://www.worldometers.info/world-population/trinidad-and-tobago-population/" xr:uid="{E4B511AA-2884-2349-8DC7-128ECC821F3B}"/>
    <hyperlink ref="D156" r:id="rId155" display="https://www.worldometers.info/world-population/timor-leste-population/" xr:uid="{ED32A293-D76A-C142-A7C9-79994C70E2C1}"/>
    <hyperlink ref="D157" r:id="rId156" display="https://www.worldometers.info/world-population/cyprus-population/" xr:uid="{7956C1F7-7CEA-E542-8F5B-B6793D868500}"/>
    <hyperlink ref="D158" r:id="rId157" display="https://www.worldometers.info/world-population/estonia-population/" xr:uid="{97725704-EFC7-FE4A-8CF6-30E364743793}"/>
    <hyperlink ref="D159" r:id="rId158" display="https://www.worldometers.info/world-population/mauritius-population/" xr:uid="{781DFA7F-FFFE-0144-9B5D-FB91CF70B32D}"/>
    <hyperlink ref="D160" r:id="rId159" display="https://www.worldometers.info/world-population/swaziland-population/" xr:uid="{FBD59273-20E7-9443-930C-D4B501DC8D9A}"/>
    <hyperlink ref="D161" r:id="rId160" display="https://www.worldometers.info/world-population/djibouti-population/" xr:uid="{406857FB-523C-DA4E-A5BA-E582E2EB270F}"/>
    <hyperlink ref="D162" r:id="rId161" display="https://www.worldometers.info/world-population/fiji-population/" xr:uid="{A812A23B-EE3B-F145-9381-3CEC0C77F051}"/>
    <hyperlink ref="D163" r:id="rId162" display="https://www.worldometers.info/world-population/comoros-population/" xr:uid="{C821A7F0-C2B5-A14F-B32A-A20D50D0147D}"/>
    <hyperlink ref="D164" r:id="rId163" display="https://www.worldometers.info/world-population/reunion-population/" xr:uid="{44A91175-9576-424C-B3B9-5D2479F3550E}"/>
    <hyperlink ref="D165" r:id="rId164" display="https://www.worldometers.info/world-population/solomon-islands-population/" xr:uid="{F8B8BC0B-8BEA-BD48-804D-0B321A49F702}"/>
    <hyperlink ref="D166" r:id="rId165" display="https://www.worldometers.info/world-population/guyana-population/" xr:uid="{09EAAB4E-FB58-9046-BB07-6B4B17FF792E}"/>
    <hyperlink ref="D167" r:id="rId166" display="https://www.worldometers.info/world-population/bhutan-population/" xr:uid="{C9078ED7-C214-BE46-80E6-3A2B3FCC599D}"/>
    <hyperlink ref="D168" r:id="rId167" display="https://www.worldometers.info/world-population/china-macao-sar-population/" xr:uid="{1564F2A0-5451-F848-9869-B89903FC9C99}"/>
    <hyperlink ref="D169" r:id="rId168" display="https://www.worldometers.info/world-population/luxembourg-population/" xr:uid="{B2338118-32AB-604B-A436-99692C3B8DD6}"/>
    <hyperlink ref="D170" r:id="rId169" display="https://www.worldometers.info/world-population/suriname-population/" xr:uid="{B86C9A75-78D1-8C4B-898A-5E0ECA50C3D7}"/>
    <hyperlink ref="D171" r:id="rId170" display="https://www.worldometers.info/world-population/montenegro-population/" xr:uid="{2355D0B3-8019-B04E-A5CB-8CBDFAF395F9}"/>
    <hyperlink ref="D172" r:id="rId171" display="https://www.worldometers.info/world-population/western-sahara-population/" xr:uid="{133CCA02-7818-834F-8018-293AC710A995}"/>
    <hyperlink ref="D173" r:id="rId172" display="https://www.worldometers.info/world-population/malta-population/" xr:uid="{FF51C723-0E1A-1A4A-BDEF-96EDE8D7A24D}"/>
    <hyperlink ref="D174" r:id="rId173" display="https://www.worldometers.info/world-population/maldives-population/" xr:uid="{9E613835-5EC4-B04A-8E33-5048BFD31BF1}"/>
    <hyperlink ref="D175" r:id="rId174" display="https://www.worldometers.info/world-population/cabo-verde-population/" xr:uid="{856E3061-1834-B540-A993-48C7113F88CA}"/>
    <hyperlink ref="D176" r:id="rId175" display="https://www.worldometers.info/world-population/brunei-darussalam-population/" xr:uid="{58182DFA-F4F7-7649-8C63-796B7644473D}"/>
    <hyperlink ref="D177" r:id="rId176" display="https://www.worldometers.info/world-population/belize-population/" xr:uid="{0FFBD0FD-5E60-4D4F-9ABB-8BA3A348553A}"/>
    <hyperlink ref="D178" r:id="rId177" display="https://www.worldometers.info/world-population/bahamas-population/" xr:uid="{5AF7DB0F-E6B2-664F-92B2-359C1EA5A9A4}"/>
    <hyperlink ref="D179" r:id="rId178" display="https://www.worldometers.info/world-population/iceland-population/" xr:uid="{4F1F76E1-BC63-9343-A11C-0CC20BFFD8AB}"/>
    <hyperlink ref="D180" r:id="rId179" display="https://www.worldometers.info/world-population/guadeloupe-population/" xr:uid="{7C22FFD8-5257-C149-9F08-C28861C0496F}"/>
    <hyperlink ref="D181" r:id="rId180" display="https://www.worldometers.info/world-population/martinique-population/" xr:uid="{9796CC89-7B9D-9B46-9F2E-A332FD5B2FC5}"/>
    <hyperlink ref="D182" r:id="rId181" display="https://www.worldometers.info/world-population/mayotte-population/" xr:uid="{015F2843-789E-DD4F-ACB6-4940CDF081C1}"/>
    <hyperlink ref="D183" r:id="rId182" display="https://www.worldometers.info/world-population/vanuatu-population/" xr:uid="{F75644D4-989B-4F4B-A359-F01063CFD181}"/>
    <hyperlink ref="D184" r:id="rId183" display="https://www.worldometers.info/world-population/french-guiana-population/" xr:uid="{5C81B9CC-6D1D-DE46-912B-69097429222F}"/>
    <hyperlink ref="D185" r:id="rId184" display="https://www.worldometers.info/world-population/new-caledonia-population/" xr:uid="{B3657E07-1A73-F34B-BC00-F795967AE25A}"/>
    <hyperlink ref="D186" r:id="rId185" display="https://www.worldometers.info/world-population/barbados-population/" xr:uid="{B0E88D95-4271-BF45-8AFE-9697DA663732}"/>
    <hyperlink ref="D187" r:id="rId186" display="https://www.worldometers.info/world-population/french-polynesia-population/" xr:uid="{200AFE58-0FCE-544E-89E5-CDFECF8E1734}"/>
    <hyperlink ref="D188" r:id="rId187" display="https://www.worldometers.info/world-population/sao-tome-and-principe-population/" xr:uid="{2ECF7535-9DC7-B74A-8AEF-F389362B52A2}"/>
    <hyperlink ref="D189" r:id="rId188" display="https://www.worldometers.info/world-population/samoa-population/" xr:uid="{35E27512-1D25-4940-85A4-E15F16EF2693}"/>
    <hyperlink ref="D190" r:id="rId189" display="https://www.worldometers.info/world-population/curacao-population/" xr:uid="{21724C9E-7C62-B448-877F-1031A1789A4D}"/>
    <hyperlink ref="D191" r:id="rId190" display="https://www.worldometers.info/world-population/saint-lucia-population/" xr:uid="{FE95B8B3-C538-C942-92BB-41C9711F1D46}"/>
    <hyperlink ref="D192" r:id="rId191" display="https://www.worldometers.info/world-population/guam-population/" xr:uid="{6BF6F1EE-FAFE-BE4E-B14C-BF1064390F43}"/>
    <hyperlink ref="D193" r:id="rId192" display="https://www.worldometers.info/world-population/kiribati-population/" xr:uid="{C82EAA1F-B84B-FB41-B56E-93103AC6BD19}"/>
    <hyperlink ref="D194" r:id="rId193" display="https://www.worldometers.info/world-population/seychelles-population/" xr:uid="{23F3C563-99C6-264A-8BEB-A2DF966EF75A}"/>
    <hyperlink ref="D195" r:id="rId194" display="https://www.worldometers.info/world-population/grenada-population/" xr:uid="{F11AF5B5-AFBC-8140-838C-39D4A183EB77}"/>
    <hyperlink ref="D196" r:id="rId195" display="https://www.worldometers.info/world-population/micronesia-population/" xr:uid="{5806C748-DCE2-DE46-AE8D-F3A02BF5127E}"/>
    <hyperlink ref="D197" r:id="rId196" display="https://www.worldometers.info/world-population/aruba-population/" xr:uid="{4C026F72-B097-C143-9123-7900CD178C55}"/>
    <hyperlink ref="D198" r:id="rId197" display="https://www.worldometers.info/world-population/tonga-population/" xr:uid="{519BE8F3-5E6F-8B41-A6AA-2D30C9EB9273}"/>
    <hyperlink ref="D199" r:id="rId198" display="https://www.worldometers.info/world-population/saint-vincent-and-the-grenadines-population/" xr:uid="{AF42ED1A-6FCC-AB4B-8BB6-3FDE2799773B}"/>
    <hyperlink ref="D200" r:id="rId199" display="https://www.worldometers.info/world-population/antigua-and-barbuda-population/" xr:uid="{DF1EF6C3-FB8F-2F41-BBF3-524CF9476BD7}"/>
    <hyperlink ref="D201" r:id="rId200" display="https://www.worldometers.info/world-population/united-states-virgin-islands-population/" xr:uid="{8B87121B-3D4C-284B-945A-E867E365C8BA}"/>
    <hyperlink ref="D202" r:id="rId201" display="https://www.worldometers.info/world-population/isle-of-man-population/" xr:uid="{2B6960C9-790F-C449-B8CC-7BAF72660C44}"/>
    <hyperlink ref="D203" r:id="rId202" display="https://www.worldometers.info/world-population/andorra-population/" xr:uid="{EB85A60E-DB3B-244B-872D-4D99FECD006E}"/>
    <hyperlink ref="D204" r:id="rId203" display="https://www.worldometers.info/world-population/cayman-islands-population/" xr:uid="{2CD536B0-3C2D-B747-8ACF-E45549C30D67}"/>
    <hyperlink ref="D205" r:id="rId204" display="https://www.worldometers.info/world-population/dominica-population/" xr:uid="{8F4DF77A-F1CB-EF46-AE62-EEB63F243A95}"/>
    <hyperlink ref="D206" r:id="rId205" display="https://www.worldometers.info/world-population/bermuda-population/" xr:uid="{07FEE3DF-F73D-3B44-8076-E8856046D80B}"/>
    <hyperlink ref="D207" r:id="rId206" display="https://www.worldometers.info/world-population/faeroe-islands-population/" xr:uid="{392D94CD-F769-C448-B566-33B22148D9C6}"/>
    <hyperlink ref="D208" r:id="rId207" display="https://www.worldometers.info/world-population/greenland-population/" xr:uid="{6C740E7E-29BB-BA4B-9ED7-412B0B862BAF}"/>
    <hyperlink ref="D209" r:id="rId208" display="https://www.worldometers.info/world-population/saint-kitts-and-nevis-population/" xr:uid="{F03E9375-7B07-AD4E-9809-FD859B0E67CC}"/>
    <hyperlink ref="D210" r:id="rId209" display="https://www.worldometers.info/world-population/turks-and-caicos-islands-population/" xr:uid="{DD6F6F61-3955-6947-A9EC-B1ED79A857DC}"/>
    <hyperlink ref="D211" r:id="rId210" display="https://www.worldometers.info/world-population/american-samoa-population/" xr:uid="{A1816DE1-315E-C748-9299-0FD235B1BE6F}"/>
    <hyperlink ref="D212" r:id="rId211" display="https://www.worldometers.info/world-population/sint-maarten-population/" xr:uid="{3572C8BE-B852-BD48-A232-90F824F8B558}"/>
    <hyperlink ref="D213" r:id="rId212" display="https://www.worldometers.info/world-population/northern-mariana-islands-population/" xr:uid="{EE36C0EB-4A93-5648-82E0-FAB7FFCDAC05}"/>
    <hyperlink ref="D214" r:id="rId213" display="https://www.worldometers.info/world-population/liechtenstein-population/" xr:uid="{9FC82BD1-3BCB-DB46-B87B-9D140FF40D6E}"/>
    <hyperlink ref="D215" r:id="rId214" display="https://www.worldometers.info/world-population/gibraltar-population/" xr:uid="{BD9B819D-0FB5-504A-B441-01D025524C99}"/>
    <hyperlink ref="D216" r:id="rId215" display="https://www.worldometers.info/world-population/british-virgin-islands-population/" xr:uid="{7AC0CB55-686A-2343-A4E6-A9257BE8F609}"/>
    <hyperlink ref="D217" r:id="rId216" display="https://www.worldometers.info/world-population/monaco-population/" xr:uid="{59680064-0263-3B4B-97FE-E26CFED12CA6}"/>
    <hyperlink ref="D218" r:id="rId217" display="https://www.worldometers.info/world-population/marshall-islands-population/" xr:uid="{F2324233-68A1-454E-9A2C-04AEA26F87CD}"/>
    <hyperlink ref="D219" r:id="rId218" display="https://www.worldometers.info/world-population/san-marino-population/" xr:uid="{91549AC0-5187-5448-B008-66D2A879FAEC}"/>
    <hyperlink ref="D220" r:id="rId219" display="https://www.worldometers.info/world-population/caribbean-netherlands-population/" xr:uid="{89E9D40A-95D5-0746-9E4C-4E7A43C30E6F}"/>
    <hyperlink ref="D221" r:id="rId220" display="https://www.worldometers.info/world-population/palau-population/" xr:uid="{0211C15E-735B-DB4E-BEB1-DC2E21B168BD}"/>
    <hyperlink ref="D222" r:id="rId221" display="https://www.worldometers.info/world-population/anguilla-population/" xr:uid="{4B61E7CD-077C-FC46-BD86-D3561A02E912}"/>
    <hyperlink ref="D223" r:id="rId222" display="https://www.worldometers.info/world-population/cook-islands-population/" xr:uid="{6AD998C6-CB42-A445-9C06-389839E214E2}"/>
    <hyperlink ref="D224" r:id="rId223" display="https://www.worldometers.info/world-population/nauru-population/" xr:uid="{FEAFD4A5-CD8D-6B4C-A4C0-0D45CCA32A63}"/>
    <hyperlink ref="D225" r:id="rId224" display="https://www.worldometers.info/world-population/saint-barthelemy-population/" xr:uid="{6F1AE3D8-0F1B-9D43-90D2-9524CC7F9516}"/>
    <hyperlink ref="D226" r:id="rId225" display="https://www.worldometers.info/world-population/wallis-and-futuna-islands-population/" xr:uid="{04FF493B-3B9F-1649-93C7-A30E309A5EA2}"/>
    <hyperlink ref="D227" r:id="rId226" display="https://www.worldometers.info/world-population/tuvalu-population/" xr:uid="{70F6095B-52B1-2541-84FB-69162FDF1231}"/>
    <hyperlink ref="D228" r:id="rId227" display="https://www.worldometers.info/world-population/saint-pierre-and-miquelon-population/" xr:uid="{191D67CA-EA80-5340-930F-A40CB1A11416}"/>
    <hyperlink ref="D229" r:id="rId228" display="https://www.worldometers.info/world-population/saint-helena-population/" xr:uid="{F6780090-79D8-E640-989F-62EEABEB1281}"/>
    <hyperlink ref="D230" r:id="rId229" display="https://www.worldometers.info/world-population/montserrat-population/" xr:uid="{9D69D3B8-3E41-F34F-BD66-606BC0605D30}"/>
    <hyperlink ref="D231" r:id="rId230" display="https://www.worldometers.info/world-population/falkland-islands-malvinas-population/" xr:uid="{2606CEF6-0DC1-7440-A5CE-EA82EC85BBA5}"/>
    <hyperlink ref="D232" r:id="rId231" display="https://www.worldometers.info/world-population/tokelau-population/" xr:uid="{70AFF465-B11C-3E4D-A1F2-966A83010D13}"/>
    <hyperlink ref="D233" r:id="rId232" display="https://www.worldometers.info/world-population/niue-population/" xr:uid="{A916AAC7-2896-7146-9E3A-62CC150C2A05}"/>
    <hyperlink ref="D234" r:id="rId233" display="https://www.worldometers.info/world-population/holy-see-population/" xr:uid="{704762AD-B355-BE43-8E97-33DFA00BE431}"/>
  </hyperlinks>
  <pageMargins left="0.7" right="0.7" top="0.75" bottom="0.75" header="0.3" footer="0.3"/>
  <pageSetup orientation="portrait" horizontalDpi="0" verticalDpi="0"/>
  <legacyDrawing r:id="rId23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FBC6D-4A1A-6A45-B7C1-80DE6C62E8E8}">
  <sheetPr>
    <tabColor theme="8"/>
  </sheetPr>
  <dimension ref="A1:L234"/>
  <sheetViews>
    <sheetView workbookViewId="0">
      <pane ySplit="1" topLeftCell="A2" activePane="bottomLeft" state="frozen"/>
      <selection pane="bottomLeft" activeCell="O18" sqref="O18"/>
    </sheetView>
  </sheetViews>
  <sheetFormatPr baseColWidth="10" defaultRowHeight="16" x14ac:dyDescent="0.2"/>
  <cols>
    <col min="1" max="1" width="5.1640625" style="15" bestFit="1" customWidth="1"/>
    <col min="2" max="2" width="22.33203125" style="15" bestFit="1" customWidth="1"/>
    <col min="3" max="3" width="19.83203125" style="15" bestFit="1" customWidth="1"/>
    <col min="4" max="4" width="15.1640625" style="15" bestFit="1" customWidth="1"/>
    <col min="5" max="5" width="13.33203125" style="15" customWidth="1"/>
    <col min="6" max="7" width="14" style="15" bestFit="1" customWidth="1"/>
    <col min="8" max="8" width="20" style="15" bestFit="1" customWidth="1"/>
    <col min="9" max="9" width="17" style="15" bestFit="1" customWidth="1"/>
    <col min="10" max="10" width="12.33203125" style="15" bestFit="1" customWidth="1"/>
    <col min="11" max="11" width="14.33203125" style="15" bestFit="1" customWidth="1"/>
    <col min="12" max="12" width="16.33203125" style="15" bestFit="1" customWidth="1"/>
    <col min="13" max="16384" width="10.83203125" style="15"/>
  </cols>
  <sheetData>
    <row r="1" spans="1:12" x14ac:dyDescent="0.2">
      <c r="A1" s="17" t="s">
        <v>0</v>
      </c>
      <c r="B1" s="41" t="s">
        <v>1</v>
      </c>
      <c r="C1" s="17" t="s">
        <v>487</v>
      </c>
      <c r="D1" s="17" t="s">
        <v>2</v>
      </c>
      <c r="E1" s="17" t="s">
        <v>488</v>
      </c>
      <c r="F1" s="17" t="s">
        <v>489</v>
      </c>
      <c r="G1" s="17" t="s">
        <v>490</v>
      </c>
      <c r="H1" s="17" t="s">
        <v>3</v>
      </c>
      <c r="I1" s="17" t="s">
        <v>491</v>
      </c>
      <c r="J1" s="17" t="s">
        <v>492</v>
      </c>
      <c r="K1" s="17" t="s">
        <v>493</v>
      </c>
      <c r="L1" s="17" t="s">
        <v>494</v>
      </c>
    </row>
    <row r="2" spans="1:12" x14ac:dyDescent="0.2">
      <c r="A2" s="15">
        <v>1</v>
      </c>
      <c r="B2" s="16" t="s">
        <v>4</v>
      </c>
      <c r="C2" s="18">
        <v>1463865525</v>
      </c>
      <c r="D2" s="19">
        <v>0.17780000000000001</v>
      </c>
      <c r="E2" s="19">
        <v>8.8999999999999999E-3</v>
      </c>
      <c r="F2" s="20">
        <v>12929734</v>
      </c>
      <c r="G2" s="15">
        <v>492</v>
      </c>
      <c r="H2" s="20">
        <v>2973190</v>
      </c>
      <c r="I2" s="15" t="s">
        <v>199</v>
      </c>
      <c r="J2" s="15">
        <v>1.94</v>
      </c>
      <c r="K2" s="15">
        <v>28.8</v>
      </c>
      <c r="L2" s="19">
        <v>0.371</v>
      </c>
    </row>
    <row r="3" spans="1:12" x14ac:dyDescent="0.2">
      <c r="A3" s="15">
        <v>2</v>
      </c>
      <c r="B3" s="16" t="s">
        <v>5</v>
      </c>
      <c r="C3" s="18">
        <v>1416096094</v>
      </c>
      <c r="D3" s="19">
        <v>0.17199999999999999</v>
      </c>
      <c r="E3" s="15" t="s">
        <v>200</v>
      </c>
      <c r="F3" s="15" t="s">
        <v>201</v>
      </c>
      <c r="G3" s="15">
        <v>151</v>
      </c>
      <c r="H3" s="20">
        <v>9388211</v>
      </c>
      <c r="I3" s="15" t="s">
        <v>202</v>
      </c>
      <c r="J3" s="15">
        <v>1.02</v>
      </c>
      <c r="K3" s="15">
        <v>40.1</v>
      </c>
      <c r="L3" s="19">
        <v>0.67500000000000004</v>
      </c>
    </row>
    <row r="4" spans="1:12" x14ac:dyDescent="0.2">
      <c r="A4" s="15">
        <v>3</v>
      </c>
      <c r="B4" s="16" t="s">
        <v>6</v>
      </c>
      <c r="C4" s="18">
        <v>347275807</v>
      </c>
      <c r="D4" s="19">
        <v>4.2200000000000001E-2</v>
      </c>
      <c r="E4" s="19">
        <v>5.4000000000000003E-3</v>
      </c>
      <c r="F4" s="20">
        <v>1849236</v>
      </c>
      <c r="G4" s="15">
        <v>38</v>
      </c>
      <c r="H4" s="20">
        <v>9147420</v>
      </c>
      <c r="I4" s="20">
        <v>1230663</v>
      </c>
      <c r="J4" s="15">
        <v>1.62</v>
      </c>
      <c r="K4" s="15">
        <v>38.5</v>
      </c>
      <c r="L4" s="19">
        <v>0.82799999999999996</v>
      </c>
    </row>
    <row r="5" spans="1:12" x14ac:dyDescent="0.2">
      <c r="A5" s="15">
        <v>4</v>
      </c>
      <c r="B5" s="16" t="s">
        <v>7</v>
      </c>
      <c r="C5" s="18">
        <v>285721236</v>
      </c>
      <c r="D5" s="19">
        <v>3.4700000000000002E-2</v>
      </c>
      <c r="E5" s="19">
        <v>7.9000000000000008E-3</v>
      </c>
      <c r="F5" s="20">
        <v>2233305</v>
      </c>
      <c r="G5" s="15">
        <v>158</v>
      </c>
      <c r="H5" s="20">
        <v>1811570</v>
      </c>
      <c r="I5" s="15" t="s">
        <v>203</v>
      </c>
      <c r="J5" s="15">
        <v>2.1</v>
      </c>
      <c r="K5" s="15">
        <v>30.4</v>
      </c>
      <c r="L5" s="19">
        <v>0.59599999999999997</v>
      </c>
    </row>
    <row r="6" spans="1:12" x14ac:dyDescent="0.2">
      <c r="A6" s="15">
        <v>5</v>
      </c>
      <c r="B6" s="16" t="s">
        <v>8</v>
      </c>
      <c r="C6" s="18">
        <v>255219554</v>
      </c>
      <c r="D6" s="19">
        <v>3.1E-2</v>
      </c>
      <c r="E6" s="19">
        <v>1.5699999999999999E-2</v>
      </c>
      <c r="F6" s="20">
        <v>3950390</v>
      </c>
      <c r="G6" s="15">
        <v>331</v>
      </c>
      <c r="H6" s="20">
        <v>770880</v>
      </c>
      <c r="I6" s="15" t="s">
        <v>204</v>
      </c>
      <c r="J6" s="15">
        <v>3.5</v>
      </c>
      <c r="K6" s="15">
        <v>20.6</v>
      </c>
      <c r="L6" s="19">
        <v>0.34399999999999997</v>
      </c>
    </row>
    <row r="7" spans="1:12" x14ac:dyDescent="0.2">
      <c r="A7" s="15">
        <v>6</v>
      </c>
      <c r="B7" s="16" t="s">
        <v>9</v>
      </c>
      <c r="C7" s="18">
        <v>237527782</v>
      </c>
      <c r="D7" s="19">
        <v>2.8899999999999999E-2</v>
      </c>
      <c r="E7" s="19">
        <v>2.0799999999999999E-2</v>
      </c>
      <c r="F7" s="20">
        <v>4848304</v>
      </c>
      <c r="G7" s="15">
        <v>261</v>
      </c>
      <c r="H7" s="20">
        <v>910770</v>
      </c>
      <c r="I7" s="15" t="s">
        <v>205</v>
      </c>
      <c r="J7" s="15">
        <v>4.3</v>
      </c>
      <c r="K7" s="15">
        <v>18.100000000000001</v>
      </c>
      <c r="L7" s="19">
        <v>0.54900000000000004</v>
      </c>
    </row>
    <row r="8" spans="1:12" x14ac:dyDescent="0.2">
      <c r="A8" s="15">
        <v>7</v>
      </c>
      <c r="B8" s="16" t="s">
        <v>10</v>
      </c>
      <c r="C8" s="18">
        <v>212812405</v>
      </c>
      <c r="D8" s="19">
        <v>2.5899999999999999E-2</v>
      </c>
      <c r="E8" s="19">
        <v>3.8E-3</v>
      </c>
      <c r="F8" s="20">
        <v>813832</v>
      </c>
      <c r="G8" s="15">
        <v>25</v>
      </c>
      <c r="H8" s="20">
        <v>8358140</v>
      </c>
      <c r="I8" s="15" t="s">
        <v>206</v>
      </c>
      <c r="J8" s="15">
        <v>1.6</v>
      </c>
      <c r="K8" s="15">
        <v>34.799999999999997</v>
      </c>
      <c r="L8" s="19">
        <v>0.91400000000000003</v>
      </c>
    </row>
    <row r="9" spans="1:12" x14ac:dyDescent="0.2">
      <c r="A9" s="15">
        <v>8</v>
      </c>
      <c r="B9" s="16" t="s">
        <v>11</v>
      </c>
      <c r="C9" s="18">
        <v>175686899</v>
      </c>
      <c r="D9" s="19">
        <v>2.1299999999999999E-2</v>
      </c>
      <c r="E9" s="19">
        <v>1.2200000000000001E-2</v>
      </c>
      <c r="F9" s="20">
        <v>2124535</v>
      </c>
      <c r="G9" s="20">
        <v>1350</v>
      </c>
      <c r="H9" s="20">
        <v>130170</v>
      </c>
      <c r="I9" s="15" t="s">
        <v>207</v>
      </c>
      <c r="J9" s="15">
        <v>2.11</v>
      </c>
      <c r="K9" s="15">
        <v>26</v>
      </c>
      <c r="L9" s="19">
        <v>0.42599999999999999</v>
      </c>
    </row>
    <row r="10" spans="1:12" x14ac:dyDescent="0.2">
      <c r="A10" s="15">
        <v>9</v>
      </c>
      <c r="B10" s="16" t="s">
        <v>12</v>
      </c>
      <c r="C10" s="18">
        <v>143997393</v>
      </c>
      <c r="D10" s="19">
        <v>1.7500000000000002E-2</v>
      </c>
      <c r="E10" s="15" t="s">
        <v>208</v>
      </c>
      <c r="F10" s="15" t="s">
        <v>209</v>
      </c>
      <c r="G10" s="15">
        <v>9</v>
      </c>
      <c r="H10" s="20">
        <v>16376870</v>
      </c>
      <c r="I10" s="15" t="s">
        <v>210</v>
      </c>
      <c r="J10" s="15">
        <v>1.47</v>
      </c>
      <c r="K10" s="15">
        <v>40.299999999999997</v>
      </c>
      <c r="L10" s="21">
        <v>0.75</v>
      </c>
    </row>
    <row r="11" spans="1:12" x14ac:dyDescent="0.2">
      <c r="A11" s="15">
        <v>10</v>
      </c>
      <c r="B11" s="16" t="s">
        <v>13</v>
      </c>
      <c r="C11" s="18">
        <v>135472051</v>
      </c>
      <c r="D11" s="19">
        <v>1.6500000000000001E-2</v>
      </c>
      <c r="E11" s="19">
        <v>2.58E-2</v>
      </c>
      <c r="F11" s="20">
        <v>3412284</v>
      </c>
      <c r="G11" s="15">
        <v>135</v>
      </c>
      <c r="H11" s="20">
        <v>1000000</v>
      </c>
      <c r="I11" s="20">
        <v>24054</v>
      </c>
      <c r="J11" s="15">
        <v>3.81</v>
      </c>
      <c r="K11" s="15">
        <v>19.100000000000001</v>
      </c>
      <c r="L11" s="19">
        <v>0.22500000000000001</v>
      </c>
    </row>
    <row r="12" spans="1:12" x14ac:dyDescent="0.2">
      <c r="A12" s="15">
        <v>11</v>
      </c>
      <c r="B12" s="16" t="s">
        <v>14</v>
      </c>
      <c r="C12" s="18">
        <v>131946900</v>
      </c>
      <c r="D12" s="19">
        <v>1.6E-2</v>
      </c>
      <c r="E12" s="19">
        <v>8.3000000000000001E-3</v>
      </c>
      <c r="F12" s="20">
        <v>1085893</v>
      </c>
      <c r="G12" s="15">
        <v>68</v>
      </c>
      <c r="H12" s="20">
        <v>1943950</v>
      </c>
      <c r="I12" s="15" t="s">
        <v>211</v>
      </c>
      <c r="J12" s="15">
        <v>1.87</v>
      </c>
      <c r="K12" s="15">
        <v>29.6</v>
      </c>
      <c r="L12" s="19">
        <v>0.879</v>
      </c>
    </row>
    <row r="13" spans="1:12" x14ac:dyDescent="0.2">
      <c r="A13" s="15">
        <v>12</v>
      </c>
      <c r="B13" s="16" t="s">
        <v>15</v>
      </c>
      <c r="C13" s="18">
        <v>123103479</v>
      </c>
      <c r="D13" s="19">
        <v>1.4999999999999999E-2</v>
      </c>
      <c r="E13" s="15" t="s">
        <v>212</v>
      </c>
      <c r="F13" s="15" t="s">
        <v>213</v>
      </c>
      <c r="G13" s="15">
        <v>338</v>
      </c>
      <c r="H13" s="20">
        <v>364555</v>
      </c>
      <c r="I13" s="20">
        <v>140579</v>
      </c>
      <c r="J13" s="15">
        <v>1.23</v>
      </c>
      <c r="K13" s="15">
        <v>49.8</v>
      </c>
      <c r="L13" s="19">
        <v>0.93100000000000005</v>
      </c>
    </row>
    <row r="14" spans="1:12" x14ac:dyDescent="0.2">
      <c r="A14" s="15">
        <v>13</v>
      </c>
      <c r="B14" s="16" t="s">
        <v>16</v>
      </c>
      <c r="C14" s="18">
        <v>118365995</v>
      </c>
      <c r="D14" s="19">
        <v>1.44E-2</v>
      </c>
      <c r="E14" s="19">
        <v>1.5699999999999999E-2</v>
      </c>
      <c r="F14" s="20">
        <v>1827737</v>
      </c>
      <c r="G14" s="15">
        <v>119</v>
      </c>
      <c r="H14" s="20">
        <v>995450</v>
      </c>
      <c r="I14" s="15" t="s">
        <v>214</v>
      </c>
      <c r="J14" s="15">
        <v>2.71</v>
      </c>
      <c r="K14" s="15">
        <v>24.5</v>
      </c>
      <c r="L14" s="19">
        <v>0.40899999999999997</v>
      </c>
    </row>
    <row r="15" spans="1:12" x14ac:dyDescent="0.2">
      <c r="A15" s="15">
        <v>14</v>
      </c>
      <c r="B15" s="16" t="s">
        <v>17</v>
      </c>
      <c r="C15" s="18">
        <v>116786962</v>
      </c>
      <c r="D15" s="19">
        <v>1.4200000000000001E-2</v>
      </c>
      <c r="E15" s="19">
        <v>8.0999999999999996E-3</v>
      </c>
      <c r="F15" s="20">
        <v>943292</v>
      </c>
      <c r="G15" s="15">
        <v>392</v>
      </c>
      <c r="H15" s="20">
        <v>298170</v>
      </c>
      <c r="I15" s="15" t="s">
        <v>215</v>
      </c>
      <c r="J15" s="15">
        <v>1.88</v>
      </c>
      <c r="K15" s="15">
        <v>26.1</v>
      </c>
      <c r="L15" s="19">
        <v>0.49299999999999999</v>
      </c>
    </row>
    <row r="16" spans="1:12" x14ac:dyDescent="0.2">
      <c r="A16" s="15">
        <v>15</v>
      </c>
      <c r="B16" s="16" t="s">
        <v>18</v>
      </c>
      <c r="C16" s="18">
        <v>112832473</v>
      </c>
      <c r="D16" s="19">
        <v>1.37E-2</v>
      </c>
      <c r="E16" s="19">
        <v>3.2500000000000001E-2</v>
      </c>
      <c r="F16" s="20">
        <v>3556208</v>
      </c>
      <c r="G16" s="15">
        <v>50</v>
      </c>
      <c r="H16" s="20">
        <v>2267050</v>
      </c>
      <c r="I16" s="15" t="s">
        <v>216</v>
      </c>
      <c r="J16" s="15">
        <v>5.9</v>
      </c>
      <c r="K16" s="15">
        <v>15.8</v>
      </c>
      <c r="L16" s="21">
        <v>0.45</v>
      </c>
    </row>
    <row r="17" spans="1:12" x14ac:dyDescent="0.2">
      <c r="A17" s="15">
        <v>16</v>
      </c>
      <c r="B17" s="16" t="s">
        <v>19</v>
      </c>
      <c r="C17" s="18">
        <v>101598527</v>
      </c>
      <c r="D17" s="19">
        <v>1.23E-2</v>
      </c>
      <c r="E17" s="19">
        <v>6.0000000000000001E-3</v>
      </c>
      <c r="F17" s="20">
        <v>610841</v>
      </c>
      <c r="G17" s="15">
        <v>328</v>
      </c>
      <c r="H17" s="20">
        <v>310070</v>
      </c>
      <c r="I17" s="15" t="s">
        <v>217</v>
      </c>
      <c r="J17" s="15">
        <v>1.88</v>
      </c>
      <c r="K17" s="15">
        <v>33.4</v>
      </c>
      <c r="L17" s="19">
        <v>0.41399999999999998</v>
      </c>
    </row>
    <row r="18" spans="1:12" x14ac:dyDescent="0.2">
      <c r="A18" s="15">
        <v>17</v>
      </c>
      <c r="B18" s="16" t="s">
        <v>20</v>
      </c>
      <c r="C18" s="18">
        <v>92417681</v>
      </c>
      <c r="D18" s="19">
        <v>1.12E-2</v>
      </c>
      <c r="E18" s="19">
        <v>9.2999999999999992E-3</v>
      </c>
      <c r="F18" s="20">
        <v>849943</v>
      </c>
      <c r="G18" s="15">
        <v>57</v>
      </c>
      <c r="H18" s="20">
        <v>1628550</v>
      </c>
      <c r="I18" s="20">
        <v>116786</v>
      </c>
      <c r="J18" s="15">
        <v>1.67</v>
      </c>
      <c r="K18" s="15">
        <v>34</v>
      </c>
      <c r="L18" s="19">
        <v>0.73299999999999998</v>
      </c>
    </row>
    <row r="19" spans="1:12" x14ac:dyDescent="0.2">
      <c r="A19" s="15">
        <v>18</v>
      </c>
      <c r="B19" s="16" t="s">
        <v>21</v>
      </c>
      <c r="C19" s="18">
        <v>87685426</v>
      </c>
      <c r="D19" s="19">
        <v>1.0699999999999999E-2</v>
      </c>
      <c r="E19" s="19">
        <v>2.3999999999999998E-3</v>
      </c>
      <c r="F19" s="20">
        <v>211621</v>
      </c>
      <c r="G19" s="15">
        <v>114</v>
      </c>
      <c r="H19" s="20">
        <v>769630</v>
      </c>
      <c r="I19" s="15" t="s">
        <v>218</v>
      </c>
      <c r="J19" s="15">
        <v>1.62</v>
      </c>
      <c r="K19" s="15">
        <v>33.5</v>
      </c>
      <c r="L19" s="19">
        <v>0.76900000000000002</v>
      </c>
    </row>
    <row r="20" spans="1:12" x14ac:dyDescent="0.2">
      <c r="A20" s="15">
        <v>19</v>
      </c>
      <c r="B20" s="16" t="s">
        <v>22</v>
      </c>
      <c r="C20" s="18">
        <v>84075075</v>
      </c>
      <c r="D20" s="19">
        <v>1.0200000000000001E-2</v>
      </c>
      <c r="E20" s="15" t="s">
        <v>219</v>
      </c>
      <c r="F20" s="15" t="s">
        <v>220</v>
      </c>
      <c r="G20" s="15">
        <v>241</v>
      </c>
      <c r="H20" s="20">
        <v>348560</v>
      </c>
      <c r="I20" s="15" t="s">
        <v>221</v>
      </c>
      <c r="J20" s="15">
        <v>1.46</v>
      </c>
      <c r="K20" s="15">
        <v>45.5</v>
      </c>
      <c r="L20" s="19">
        <v>0.76500000000000001</v>
      </c>
    </row>
    <row r="21" spans="1:12" x14ac:dyDescent="0.2">
      <c r="A21" s="15">
        <v>20</v>
      </c>
      <c r="B21" s="16" t="s">
        <v>23</v>
      </c>
      <c r="C21" s="18">
        <v>71619863</v>
      </c>
      <c r="D21" s="19">
        <v>8.6999999999999994E-3</v>
      </c>
      <c r="E21" s="15" t="s">
        <v>222</v>
      </c>
      <c r="F21" s="15" t="s">
        <v>223</v>
      </c>
      <c r="G21" s="15">
        <v>140</v>
      </c>
      <c r="H21" s="20">
        <v>510890</v>
      </c>
      <c r="I21" s="20">
        <v>27509</v>
      </c>
      <c r="J21" s="15">
        <v>1.2</v>
      </c>
      <c r="K21" s="15">
        <v>40.6</v>
      </c>
      <c r="L21" s="19">
        <v>0.53500000000000003</v>
      </c>
    </row>
    <row r="22" spans="1:12" x14ac:dyDescent="0.2">
      <c r="A22" s="15">
        <v>21</v>
      </c>
      <c r="B22" s="16" t="s">
        <v>24</v>
      </c>
      <c r="C22" s="18">
        <v>70545865</v>
      </c>
      <c r="D22" s="19">
        <v>8.6E-3</v>
      </c>
      <c r="E22" s="19">
        <v>2.9000000000000001E-2</v>
      </c>
      <c r="F22" s="20">
        <v>1985708</v>
      </c>
      <c r="G22" s="15">
        <v>80</v>
      </c>
      <c r="H22" s="20">
        <v>885800</v>
      </c>
      <c r="I22" s="15" t="s">
        <v>224</v>
      </c>
      <c r="J22" s="15">
        <v>4.47</v>
      </c>
      <c r="K22" s="15">
        <v>17.5</v>
      </c>
      <c r="L22" s="21">
        <v>0.4</v>
      </c>
    </row>
    <row r="23" spans="1:12" x14ac:dyDescent="0.2">
      <c r="A23" s="15">
        <v>22</v>
      </c>
      <c r="B23" s="16" t="s">
        <v>25</v>
      </c>
      <c r="C23" s="18">
        <v>69551332</v>
      </c>
      <c r="D23" s="19">
        <v>8.3999999999999995E-3</v>
      </c>
      <c r="E23" s="19">
        <v>6.0000000000000001E-3</v>
      </c>
      <c r="F23" s="20">
        <v>413140</v>
      </c>
      <c r="G23" s="15">
        <v>287</v>
      </c>
      <c r="H23" s="20">
        <v>241930</v>
      </c>
      <c r="I23" s="20">
        <v>389911</v>
      </c>
      <c r="J23" s="15">
        <v>1.54</v>
      </c>
      <c r="K23" s="15">
        <v>40.1</v>
      </c>
      <c r="L23" s="19">
        <v>0.84499999999999997</v>
      </c>
    </row>
    <row r="24" spans="1:12" x14ac:dyDescent="0.2">
      <c r="A24" s="15">
        <v>23</v>
      </c>
      <c r="B24" s="16" t="s">
        <v>26</v>
      </c>
      <c r="C24" s="18">
        <v>66650804</v>
      </c>
      <c r="D24" s="19">
        <v>8.0999999999999996E-3</v>
      </c>
      <c r="E24" s="19">
        <v>1.5E-3</v>
      </c>
      <c r="F24" s="20">
        <v>102274</v>
      </c>
      <c r="G24" s="15">
        <v>122</v>
      </c>
      <c r="H24" s="20">
        <v>547557</v>
      </c>
      <c r="I24" s="20">
        <v>91737</v>
      </c>
      <c r="J24" s="15">
        <v>1.64</v>
      </c>
      <c r="K24" s="15">
        <v>42.3</v>
      </c>
      <c r="L24" s="19">
        <v>0.82499999999999996</v>
      </c>
    </row>
    <row r="25" spans="1:12" x14ac:dyDescent="0.2">
      <c r="A25" s="15">
        <v>24</v>
      </c>
      <c r="B25" s="16" t="s">
        <v>27</v>
      </c>
      <c r="C25" s="18">
        <v>64747319</v>
      </c>
      <c r="D25" s="19">
        <v>7.9000000000000008E-3</v>
      </c>
      <c r="E25" s="19">
        <v>1.1599999999999999E-2</v>
      </c>
      <c r="F25" s="20">
        <v>740132</v>
      </c>
      <c r="G25" s="15">
        <v>53</v>
      </c>
      <c r="H25" s="20">
        <v>1213090</v>
      </c>
      <c r="I25" s="20">
        <v>146370</v>
      </c>
      <c r="J25" s="15">
        <v>2.19</v>
      </c>
      <c r="K25" s="15">
        <v>28.7</v>
      </c>
      <c r="L25" s="19">
        <v>0.66600000000000004</v>
      </c>
    </row>
    <row r="26" spans="1:12" x14ac:dyDescent="0.2">
      <c r="A26" s="15">
        <v>25</v>
      </c>
      <c r="B26" s="16" t="s">
        <v>28</v>
      </c>
      <c r="C26" s="18">
        <v>59146260</v>
      </c>
      <c r="D26" s="19">
        <v>7.1999999999999998E-3</v>
      </c>
      <c r="E26" s="15" t="s">
        <v>225</v>
      </c>
      <c r="F26" s="15" t="s">
        <v>226</v>
      </c>
      <c r="G26" s="15">
        <v>201</v>
      </c>
      <c r="H26" s="20">
        <v>294140</v>
      </c>
      <c r="I26" s="20">
        <v>75448</v>
      </c>
      <c r="J26" s="15">
        <v>1.21</v>
      </c>
      <c r="K26" s="15">
        <v>48.2</v>
      </c>
      <c r="L26" s="21">
        <v>0.72</v>
      </c>
    </row>
    <row r="27" spans="1:12" x14ac:dyDescent="0.2">
      <c r="A27" s="15">
        <v>26</v>
      </c>
      <c r="B27" s="16" t="s">
        <v>29</v>
      </c>
      <c r="C27" s="18">
        <v>57532493</v>
      </c>
      <c r="D27" s="19">
        <v>7.0000000000000001E-3</v>
      </c>
      <c r="E27" s="19">
        <v>1.95E-2</v>
      </c>
      <c r="F27" s="20">
        <v>1099549</v>
      </c>
      <c r="G27" s="15">
        <v>101</v>
      </c>
      <c r="H27" s="20">
        <v>569140</v>
      </c>
      <c r="I27" s="15" t="s">
        <v>227</v>
      </c>
      <c r="J27" s="15">
        <v>3.12</v>
      </c>
      <c r="K27" s="15">
        <v>20</v>
      </c>
      <c r="L27" s="19">
        <v>0.31900000000000001</v>
      </c>
    </row>
    <row r="28" spans="1:12" x14ac:dyDescent="0.2">
      <c r="A28" s="15">
        <v>27</v>
      </c>
      <c r="B28" s="16" t="s">
        <v>30</v>
      </c>
      <c r="C28" s="18">
        <v>54850648</v>
      </c>
      <c r="D28" s="19">
        <v>6.7000000000000002E-3</v>
      </c>
      <c r="E28" s="19">
        <v>6.4000000000000003E-3</v>
      </c>
      <c r="F28" s="20">
        <v>350557</v>
      </c>
      <c r="G28" s="15">
        <v>84</v>
      </c>
      <c r="H28" s="20">
        <v>653290</v>
      </c>
      <c r="I28" s="15" t="s">
        <v>228</v>
      </c>
      <c r="J28" s="15">
        <v>2.08</v>
      </c>
      <c r="K28" s="15">
        <v>30.1</v>
      </c>
      <c r="L28" s="19">
        <v>0.34100000000000003</v>
      </c>
    </row>
    <row r="29" spans="1:12" x14ac:dyDescent="0.2">
      <c r="A29" s="15">
        <v>28</v>
      </c>
      <c r="B29" s="16" t="s">
        <v>31</v>
      </c>
      <c r="C29" s="18">
        <v>53425635</v>
      </c>
      <c r="D29" s="19">
        <v>6.4999999999999997E-3</v>
      </c>
      <c r="E29" s="19">
        <v>1.0200000000000001E-2</v>
      </c>
      <c r="F29" s="20">
        <v>539272</v>
      </c>
      <c r="G29" s="15">
        <v>48</v>
      </c>
      <c r="H29" s="20">
        <v>1109500</v>
      </c>
      <c r="I29" s="20">
        <v>129139</v>
      </c>
      <c r="J29" s="15">
        <v>1.62</v>
      </c>
      <c r="K29" s="15">
        <v>32.5</v>
      </c>
      <c r="L29" s="19">
        <v>0.80500000000000005</v>
      </c>
    </row>
    <row r="30" spans="1:12" x14ac:dyDescent="0.2">
      <c r="A30" s="15">
        <v>29</v>
      </c>
      <c r="B30" s="16" t="s">
        <v>32</v>
      </c>
      <c r="C30" s="18">
        <v>51667029</v>
      </c>
      <c r="D30" s="19">
        <v>6.3E-3</v>
      </c>
      <c r="E30" s="15" t="s">
        <v>229</v>
      </c>
      <c r="F30" s="15" t="s">
        <v>230</v>
      </c>
      <c r="G30" s="15">
        <v>531</v>
      </c>
      <c r="H30" s="20">
        <v>97230</v>
      </c>
      <c r="I30" s="20">
        <v>65731</v>
      </c>
      <c r="J30" s="15">
        <v>0.75</v>
      </c>
      <c r="K30" s="15">
        <v>45.6</v>
      </c>
      <c r="L30" s="19">
        <v>0.82399999999999995</v>
      </c>
    </row>
    <row r="31" spans="1:12" x14ac:dyDescent="0.2">
      <c r="A31" s="15">
        <v>30</v>
      </c>
      <c r="B31" s="16" t="s">
        <v>33</v>
      </c>
      <c r="C31" s="18">
        <v>51662147</v>
      </c>
      <c r="D31" s="19">
        <v>6.3E-3</v>
      </c>
      <c r="E31" s="19">
        <v>2.4E-2</v>
      </c>
      <c r="F31" s="20">
        <v>1213184</v>
      </c>
      <c r="G31" s="15">
        <v>29</v>
      </c>
      <c r="H31" s="20">
        <v>1765048</v>
      </c>
      <c r="I31" s="20">
        <v>291469</v>
      </c>
      <c r="J31" s="15">
        <v>4.1900000000000004</v>
      </c>
      <c r="K31" s="15">
        <v>18.5</v>
      </c>
      <c r="L31" s="19">
        <v>0.35299999999999998</v>
      </c>
    </row>
    <row r="32" spans="1:12" x14ac:dyDescent="0.2">
      <c r="A32" s="15">
        <v>31</v>
      </c>
      <c r="B32" s="16" t="s">
        <v>34</v>
      </c>
      <c r="C32" s="18">
        <v>51384894</v>
      </c>
      <c r="D32" s="19">
        <v>6.1999999999999998E-3</v>
      </c>
      <c r="E32" s="19">
        <v>2.7400000000000001E-2</v>
      </c>
      <c r="F32" s="20">
        <v>1369802</v>
      </c>
      <c r="G32" s="15">
        <v>257</v>
      </c>
      <c r="H32" s="20">
        <v>199810</v>
      </c>
      <c r="I32" s="15" t="s">
        <v>231</v>
      </c>
      <c r="J32" s="15">
        <v>4.0599999999999996</v>
      </c>
      <c r="K32" s="15">
        <v>16.899999999999999</v>
      </c>
      <c r="L32" s="21">
        <v>0.3</v>
      </c>
    </row>
    <row r="33" spans="1:12" x14ac:dyDescent="0.2">
      <c r="A33" s="15">
        <v>32</v>
      </c>
      <c r="B33" s="16" t="s">
        <v>35</v>
      </c>
      <c r="C33" s="18">
        <v>47889958</v>
      </c>
      <c r="D33" s="19">
        <v>5.7999999999999996E-3</v>
      </c>
      <c r="E33" s="15" t="s">
        <v>232</v>
      </c>
      <c r="F33" s="15" t="s">
        <v>233</v>
      </c>
      <c r="G33" s="15">
        <v>96</v>
      </c>
      <c r="H33" s="20">
        <v>498800</v>
      </c>
      <c r="I33" s="20">
        <v>96630</v>
      </c>
      <c r="J33" s="15">
        <v>1.23</v>
      </c>
      <c r="K33" s="15">
        <v>45.9</v>
      </c>
      <c r="L33" s="19">
        <v>0.79300000000000004</v>
      </c>
    </row>
    <row r="34" spans="1:12" x14ac:dyDescent="0.2">
      <c r="A34" s="15">
        <v>33</v>
      </c>
      <c r="B34" s="16" t="s">
        <v>36</v>
      </c>
      <c r="C34" s="18">
        <v>47435312</v>
      </c>
      <c r="D34" s="19">
        <v>5.7999999999999996E-3</v>
      </c>
      <c r="E34" s="19">
        <v>1.3299999999999999E-2</v>
      </c>
      <c r="F34" s="20">
        <v>621004</v>
      </c>
      <c r="G34" s="15">
        <v>20</v>
      </c>
      <c r="H34" s="20">
        <v>2381740</v>
      </c>
      <c r="I34" s="15" t="s">
        <v>234</v>
      </c>
      <c r="J34" s="15">
        <v>2.67</v>
      </c>
      <c r="K34" s="15">
        <v>28.6</v>
      </c>
      <c r="L34" s="19">
        <v>0.74399999999999999</v>
      </c>
    </row>
    <row r="35" spans="1:12" x14ac:dyDescent="0.2">
      <c r="A35" s="15">
        <v>34</v>
      </c>
      <c r="B35" s="16" t="s">
        <v>37</v>
      </c>
      <c r="C35" s="18">
        <v>47020774</v>
      </c>
      <c r="D35" s="19">
        <v>5.7000000000000002E-3</v>
      </c>
      <c r="E35" s="19">
        <v>2.1299999999999999E-2</v>
      </c>
      <c r="F35" s="20">
        <v>978759</v>
      </c>
      <c r="G35" s="15">
        <v>108</v>
      </c>
      <c r="H35" s="20">
        <v>434320</v>
      </c>
      <c r="I35" s="15" t="s">
        <v>235</v>
      </c>
      <c r="J35" s="15">
        <v>3.17</v>
      </c>
      <c r="K35" s="15">
        <v>20.8</v>
      </c>
      <c r="L35" s="19">
        <v>0.72399999999999998</v>
      </c>
    </row>
    <row r="36" spans="1:12" x14ac:dyDescent="0.2">
      <c r="A36" s="15">
        <v>35</v>
      </c>
      <c r="B36" s="16" t="s">
        <v>38</v>
      </c>
      <c r="C36" s="18">
        <v>45851378</v>
      </c>
      <c r="D36" s="19">
        <v>5.5999999999999999E-3</v>
      </c>
      <c r="E36" s="19">
        <v>3.3999999999999998E-3</v>
      </c>
      <c r="F36" s="20">
        <v>155219</v>
      </c>
      <c r="G36" s="15">
        <v>17</v>
      </c>
      <c r="H36" s="20">
        <v>2736690</v>
      </c>
      <c r="I36" s="20">
        <v>2859</v>
      </c>
      <c r="J36" s="15">
        <v>1.5</v>
      </c>
      <c r="K36" s="15">
        <v>32.9</v>
      </c>
      <c r="L36" s="21">
        <v>0.96</v>
      </c>
    </row>
    <row r="37" spans="1:12" x14ac:dyDescent="0.2">
      <c r="A37" s="15">
        <v>36</v>
      </c>
      <c r="B37" s="16" t="s">
        <v>39</v>
      </c>
      <c r="C37" s="18">
        <v>43844111</v>
      </c>
      <c r="D37" s="19">
        <v>5.3E-3</v>
      </c>
      <c r="E37" s="19">
        <v>2.81E-2</v>
      </c>
      <c r="F37" s="20">
        <v>1196619</v>
      </c>
      <c r="G37" s="15">
        <v>67</v>
      </c>
      <c r="H37" s="20">
        <v>652860</v>
      </c>
      <c r="I37" s="15" t="s">
        <v>236</v>
      </c>
      <c r="J37" s="15">
        <v>4.66</v>
      </c>
      <c r="K37" s="15">
        <v>17.3</v>
      </c>
      <c r="L37" s="19">
        <v>0.26700000000000002</v>
      </c>
    </row>
    <row r="38" spans="1:12" x14ac:dyDescent="0.2">
      <c r="A38" s="15">
        <v>37</v>
      </c>
      <c r="B38" s="16" t="s">
        <v>40</v>
      </c>
      <c r="C38" s="18">
        <v>41773878</v>
      </c>
      <c r="D38" s="19">
        <v>5.1000000000000004E-3</v>
      </c>
      <c r="E38" s="19">
        <v>2.93E-2</v>
      </c>
      <c r="F38" s="20">
        <v>1190714</v>
      </c>
      <c r="G38" s="15">
        <v>79</v>
      </c>
      <c r="H38" s="20">
        <v>527970</v>
      </c>
      <c r="I38" s="15" t="s">
        <v>237</v>
      </c>
      <c r="J38" s="15">
        <v>4.41</v>
      </c>
      <c r="K38" s="15">
        <v>18.399999999999999</v>
      </c>
      <c r="L38" s="21">
        <v>0.33</v>
      </c>
    </row>
    <row r="39" spans="1:12" x14ac:dyDescent="0.2">
      <c r="A39" s="15">
        <v>38</v>
      </c>
      <c r="B39" s="16" t="s">
        <v>41</v>
      </c>
      <c r="C39" s="18">
        <v>40126723</v>
      </c>
      <c r="D39" s="19">
        <v>4.8999999999999998E-3</v>
      </c>
      <c r="E39" s="19">
        <v>9.7000000000000003E-3</v>
      </c>
      <c r="F39" s="20">
        <v>384293</v>
      </c>
      <c r="G39" s="15">
        <v>4</v>
      </c>
      <c r="H39" s="20">
        <v>9093510</v>
      </c>
      <c r="I39" s="20">
        <v>326204</v>
      </c>
      <c r="J39" s="15">
        <v>1.33</v>
      </c>
      <c r="K39" s="15">
        <v>40.6</v>
      </c>
      <c r="L39" s="19">
        <v>0.80200000000000005</v>
      </c>
    </row>
    <row r="40" spans="1:12" x14ac:dyDescent="0.2">
      <c r="A40" s="15">
        <v>39</v>
      </c>
      <c r="B40" s="16" t="s">
        <v>42</v>
      </c>
      <c r="C40" s="18">
        <v>39040039</v>
      </c>
      <c r="D40" s="19">
        <v>4.7000000000000002E-3</v>
      </c>
      <c r="E40" s="19">
        <v>3.0499999999999999E-2</v>
      </c>
      <c r="F40" s="20">
        <v>1154190</v>
      </c>
      <c r="G40" s="15">
        <v>31</v>
      </c>
      <c r="H40" s="20">
        <v>1246700</v>
      </c>
      <c r="I40" s="15" t="s">
        <v>238</v>
      </c>
      <c r="J40" s="15">
        <v>4.95</v>
      </c>
      <c r="K40" s="15">
        <v>16.600000000000001</v>
      </c>
      <c r="L40" s="19">
        <v>0.68799999999999994</v>
      </c>
    </row>
    <row r="41" spans="1:12" x14ac:dyDescent="0.2">
      <c r="A41" s="15">
        <v>40</v>
      </c>
      <c r="B41" s="16" t="s">
        <v>43</v>
      </c>
      <c r="C41" s="18">
        <v>38980376</v>
      </c>
      <c r="D41" s="19">
        <v>4.7000000000000002E-3</v>
      </c>
      <c r="E41" s="19">
        <v>2.9600000000000001E-2</v>
      </c>
      <c r="F41" s="20">
        <v>1120155</v>
      </c>
      <c r="G41" s="15">
        <v>67</v>
      </c>
      <c r="H41" s="20">
        <v>579320</v>
      </c>
      <c r="I41" s="20">
        <v>1702358</v>
      </c>
      <c r="J41" s="15">
        <v>1</v>
      </c>
      <c r="K41" s="15">
        <v>41.8</v>
      </c>
      <c r="L41" s="19">
        <v>0.76800000000000002</v>
      </c>
    </row>
    <row r="42" spans="1:12" x14ac:dyDescent="0.2">
      <c r="A42" s="15">
        <v>41</v>
      </c>
      <c r="B42" s="16" t="s">
        <v>44</v>
      </c>
      <c r="C42" s="18">
        <v>38430770</v>
      </c>
      <c r="D42" s="19">
        <v>4.7000000000000002E-3</v>
      </c>
      <c r="E42" s="19">
        <v>9.1999999999999998E-3</v>
      </c>
      <c r="F42" s="20">
        <v>349597</v>
      </c>
      <c r="G42" s="15">
        <v>86</v>
      </c>
      <c r="H42" s="20">
        <v>446300</v>
      </c>
      <c r="I42" s="15" t="s">
        <v>239</v>
      </c>
      <c r="J42" s="15">
        <v>2.1800000000000002</v>
      </c>
      <c r="K42" s="15">
        <v>29.8</v>
      </c>
      <c r="L42" s="19">
        <v>0.67300000000000004</v>
      </c>
    </row>
    <row r="43" spans="1:12" x14ac:dyDescent="0.2">
      <c r="A43" s="15">
        <v>42</v>
      </c>
      <c r="B43" s="16" t="s">
        <v>45</v>
      </c>
      <c r="C43" s="18">
        <v>38140910</v>
      </c>
      <c r="D43" s="19">
        <v>4.5999999999999999E-3</v>
      </c>
      <c r="E43" s="15" t="s">
        <v>240</v>
      </c>
      <c r="F43" s="15" t="s">
        <v>241</v>
      </c>
      <c r="G43" s="15">
        <v>125</v>
      </c>
      <c r="H43" s="20">
        <v>306230</v>
      </c>
      <c r="I43" s="15" t="s">
        <v>242</v>
      </c>
      <c r="J43" s="15">
        <v>1.31</v>
      </c>
      <c r="K43" s="15">
        <v>42.5</v>
      </c>
      <c r="L43" s="19">
        <v>0.59199999999999997</v>
      </c>
    </row>
    <row r="44" spans="1:12" x14ac:dyDescent="0.2">
      <c r="A44" s="15">
        <v>43</v>
      </c>
      <c r="B44" s="16" t="s">
        <v>46</v>
      </c>
      <c r="C44" s="18">
        <v>37053428</v>
      </c>
      <c r="D44" s="19">
        <v>4.4999999999999997E-3</v>
      </c>
      <c r="E44" s="19">
        <v>1.9E-2</v>
      </c>
      <c r="F44" s="20">
        <v>691569</v>
      </c>
      <c r="G44" s="15">
        <v>87</v>
      </c>
      <c r="H44" s="20">
        <v>425400</v>
      </c>
      <c r="I44" s="15" t="s">
        <v>243</v>
      </c>
      <c r="J44" s="15">
        <v>3.45</v>
      </c>
      <c r="K44" s="15">
        <v>27</v>
      </c>
      <c r="L44" s="19">
        <v>0.48099999999999998</v>
      </c>
    </row>
    <row r="45" spans="1:12" x14ac:dyDescent="0.2">
      <c r="A45" s="15">
        <v>44</v>
      </c>
      <c r="B45" s="16" t="s">
        <v>47</v>
      </c>
      <c r="C45" s="18">
        <v>35977838</v>
      </c>
      <c r="D45" s="19">
        <v>4.4000000000000003E-3</v>
      </c>
      <c r="E45" s="19">
        <v>1.18E-2</v>
      </c>
      <c r="F45" s="20">
        <v>420165</v>
      </c>
      <c r="G45" s="15">
        <v>110</v>
      </c>
      <c r="H45" s="20">
        <v>328550</v>
      </c>
      <c r="I45" s="20">
        <v>166615</v>
      </c>
      <c r="J45" s="15">
        <v>1.53</v>
      </c>
      <c r="K45" s="15">
        <v>31</v>
      </c>
      <c r="L45" s="19">
        <v>0.77400000000000002</v>
      </c>
    </row>
    <row r="46" spans="1:12" x14ac:dyDescent="0.2">
      <c r="A46" s="15">
        <v>45</v>
      </c>
      <c r="B46" s="16" t="s">
        <v>48</v>
      </c>
      <c r="C46" s="18">
        <v>35631653</v>
      </c>
      <c r="D46" s="19">
        <v>4.3E-3</v>
      </c>
      <c r="E46" s="19">
        <v>2.8899999999999999E-2</v>
      </c>
      <c r="F46" s="20">
        <v>999887</v>
      </c>
      <c r="G46" s="15">
        <v>45</v>
      </c>
      <c r="H46" s="20">
        <v>786380</v>
      </c>
      <c r="I46" s="15" t="s">
        <v>244</v>
      </c>
      <c r="J46" s="15">
        <v>4.62</v>
      </c>
      <c r="K46" s="15">
        <v>16.5</v>
      </c>
      <c r="L46" s="19">
        <v>0.41599999999999998</v>
      </c>
    </row>
    <row r="47" spans="1:12" x14ac:dyDescent="0.2">
      <c r="A47" s="15">
        <v>46</v>
      </c>
      <c r="B47" s="16" t="s">
        <v>49</v>
      </c>
      <c r="C47" s="18">
        <v>35064272</v>
      </c>
      <c r="D47" s="19">
        <v>4.3E-3</v>
      </c>
      <c r="E47" s="19">
        <v>1.8499999999999999E-2</v>
      </c>
      <c r="F47" s="20">
        <v>636858</v>
      </c>
      <c r="G47" s="15">
        <v>154</v>
      </c>
      <c r="H47" s="20">
        <v>227540</v>
      </c>
      <c r="I47" s="15" t="s">
        <v>245</v>
      </c>
      <c r="J47" s="15">
        <v>3.3</v>
      </c>
      <c r="K47" s="15">
        <v>21.3</v>
      </c>
      <c r="L47" s="19">
        <v>0.58599999999999997</v>
      </c>
    </row>
    <row r="48" spans="1:12" x14ac:dyDescent="0.2">
      <c r="A48" s="15">
        <v>47</v>
      </c>
      <c r="B48" s="16" t="s">
        <v>50</v>
      </c>
      <c r="C48" s="18">
        <v>34576665</v>
      </c>
      <c r="D48" s="19">
        <v>4.1999999999999997E-3</v>
      </c>
      <c r="E48" s="19">
        <v>1.0500000000000001E-2</v>
      </c>
      <c r="F48" s="20">
        <v>358817</v>
      </c>
      <c r="G48" s="15">
        <v>27</v>
      </c>
      <c r="H48" s="20">
        <v>1280000</v>
      </c>
      <c r="I48" s="20">
        <v>11931</v>
      </c>
      <c r="J48" s="15">
        <v>1.94</v>
      </c>
      <c r="K48" s="15">
        <v>30.2</v>
      </c>
      <c r="L48" s="19">
        <v>0.80600000000000005</v>
      </c>
    </row>
    <row r="49" spans="1:12" x14ac:dyDescent="0.2">
      <c r="A49" s="15">
        <v>48</v>
      </c>
      <c r="B49" s="16" t="s">
        <v>51</v>
      </c>
      <c r="C49" s="18">
        <v>34566328</v>
      </c>
      <c r="D49" s="19">
        <v>4.1999999999999997E-3</v>
      </c>
      <c r="E49" s="19">
        <v>1.78E-2</v>
      </c>
      <c r="F49" s="20">
        <v>603571</v>
      </c>
      <c r="G49" s="15">
        <v>16</v>
      </c>
      <c r="H49" s="20">
        <v>2149690</v>
      </c>
      <c r="I49" s="20">
        <v>119738</v>
      </c>
      <c r="J49" s="15">
        <v>2.29</v>
      </c>
      <c r="K49" s="15">
        <v>29.6</v>
      </c>
      <c r="L49" s="19">
        <v>0.92100000000000004</v>
      </c>
    </row>
    <row r="50" spans="1:12" x14ac:dyDescent="0.2">
      <c r="A50" s="15">
        <v>49</v>
      </c>
      <c r="B50" s="16" t="s">
        <v>52</v>
      </c>
      <c r="C50" s="18">
        <v>32740678</v>
      </c>
      <c r="D50" s="19">
        <v>4.0000000000000001E-3</v>
      </c>
      <c r="E50" s="19">
        <v>2.4299999999999999E-2</v>
      </c>
      <c r="F50" s="20">
        <v>775722</v>
      </c>
      <c r="G50" s="15">
        <v>56</v>
      </c>
      <c r="H50" s="20">
        <v>581795</v>
      </c>
      <c r="I50" s="15" t="s">
        <v>246</v>
      </c>
      <c r="J50" s="15">
        <v>3.85</v>
      </c>
      <c r="K50" s="15">
        <v>19.2</v>
      </c>
      <c r="L50" s="19">
        <v>0.40300000000000002</v>
      </c>
    </row>
    <row r="51" spans="1:12" x14ac:dyDescent="0.2">
      <c r="A51" s="15">
        <v>50</v>
      </c>
      <c r="B51" s="16" t="s">
        <v>53</v>
      </c>
      <c r="C51" s="18">
        <v>32711547</v>
      </c>
      <c r="D51" s="19">
        <v>4.0000000000000001E-3</v>
      </c>
      <c r="E51" s="19">
        <v>2.4299999999999999E-2</v>
      </c>
      <c r="F51" s="20">
        <v>777317</v>
      </c>
      <c r="G51" s="15">
        <v>103</v>
      </c>
      <c r="H51" s="20">
        <v>318000</v>
      </c>
      <c r="I51" s="20">
        <v>11305</v>
      </c>
      <c r="J51" s="15">
        <v>4.17</v>
      </c>
      <c r="K51" s="15">
        <v>18.3</v>
      </c>
      <c r="L51" s="21">
        <v>0.49</v>
      </c>
    </row>
    <row r="52" spans="1:12" x14ac:dyDescent="0.2">
      <c r="A52" s="15">
        <v>51</v>
      </c>
      <c r="B52" s="16" t="s">
        <v>54</v>
      </c>
      <c r="C52" s="18">
        <v>29879337</v>
      </c>
      <c r="D52" s="19">
        <v>3.5999999999999999E-3</v>
      </c>
      <c r="E52" s="19">
        <v>2.5899999999999999E-2</v>
      </c>
      <c r="F52" s="20">
        <v>755593</v>
      </c>
      <c r="G52" s="15">
        <v>63</v>
      </c>
      <c r="H52" s="20">
        <v>472710</v>
      </c>
      <c r="I52" s="15" t="s">
        <v>247</v>
      </c>
      <c r="J52" s="15">
        <v>4.18</v>
      </c>
      <c r="K52" s="15">
        <v>18</v>
      </c>
      <c r="L52" s="19">
        <v>0.59399999999999997</v>
      </c>
    </row>
    <row r="53" spans="1:12" x14ac:dyDescent="0.2">
      <c r="A53" s="15">
        <v>52</v>
      </c>
      <c r="B53" s="16" t="s">
        <v>55</v>
      </c>
      <c r="C53" s="18">
        <v>29618118</v>
      </c>
      <c r="D53" s="19">
        <v>3.5999999999999999E-3</v>
      </c>
      <c r="E53" s="15" t="s">
        <v>248</v>
      </c>
      <c r="F53" s="15" t="s">
        <v>249</v>
      </c>
      <c r="G53" s="15">
        <v>207</v>
      </c>
      <c r="H53" s="20">
        <v>143350</v>
      </c>
      <c r="I53" s="15" t="s">
        <v>250</v>
      </c>
      <c r="J53" s="15">
        <v>1.94</v>
      </c>
      <c r="K53" s="15">
        <v>25.3</v>
      </c>
      <c r="L53" s="19">
        <v>0.245</v>
      </c>
    </row>
    <row r="54" spans="1:12" x14ac:dyDescent="0.2">
      <c r="A54" s="15">
        <v>53</v>
      </c>
      <c r="B54" s="16" t="s">
        <v>56</v>
      </c>
      <c r="C54" s="18">
        <v>28516896</v>
      </c>
      <c r="D54" s="19">
        <v>3.5000000000000001E-3</v>
      </c>
      <c r="E54" s="19">
        <v>3.8999999999999998E-3</v>
      </c>
      <c r="F54" s="20">
        <v>111353</v>
      </c>
      <c r="G54" s="15">
        <v>32</v>
      </c>
      <c r="H54" s="20">
        <v>882050</v>
      </c>
      <c r="I54" s="15" t="s">
        <v>251</v>
      </c>
      <c r="J54" s="15">
        <v>2.06</v>
      </c>
      <c r="K54" s="15">
        <v>29.4</v>
      </c>
    </row>
    <row r="55" spans="1:12" x14ac:dyDescent="0.2">
      <c r="A55" s="15">
        <v>54</v>
      </c>
      <c r="B55" s="16" t="s">
        <v>57</v>
      </c>
      <c r="C55" s="18">
        <v>27917831</v>
      </c>
      <c r="D55" s="19">
        <v>3.3999999999999998E-3</v>
      </c>
      <c r="E55" s="19">
        <v>3.2800000000000003E-2</v>
      </c>
      <c r="F55" s="20">
        <v>885419</v>
      </c>
      <c r="G55" s="15">
        <v>22</v>
      </c>
      <c r="H55" s="20">
        <v>1266700</v>
      </c>
      <c r="I55" s="15" t="s">
        <v>252</v>
      </c>
      <c r="J55" s="15">
        <v>5.79</v>
      </c>
      <c r="K55" s="15">
        <v>15.6</v>
      </c>
      <c r="L55" s="19">
        <v>0.182</v>
      </c>
    </row>
    <row r="56" spans="1:12" x14ac:dyDescent="0.2">
      <c r="A56" s="15">
        <v>55</v>
      </c>
      <c r="B56" s="16" t="s">
        <v>58</v>
      </c>
      <c r="C56" s="18">
        <v>26974026</v>
      </c>
      <c r="D56" s="19">
        <v>3.3E-3</v>
      </c>
      <c r="E56" s="19">
        <v>9.7999999999999997E-3</v>
      </c>
      <c r="F56" s="20">
        <v>260821</v>
      </c>
      <c r="G56" s="15">
        <v>4</v>
      </c>
      <c r="H56" s="20">
        <v>7682300</v>
      </c>
      <c r="I56" s="20">
        <v>137109</v>
      </c>
      <c r="J56" s="15">
        <v>1.64</v>
      </c>
      <c r="K56" s="15">
        <v>38.299999999999997</v>
      </c>
      <c r="L56" s="19">
        <v>0.86499999999999999</v>
      </c>
    </row>
    <row r="57" spans="1:12" x14ac:dyDescent="0.2">
      <c r="A57" s="15">
        <v>56</v>
      </c>
      <c r="B57" s="16" t="s">
        <v>59</v>
      </c>
      <c r="C57" s="18">
        <v>26571036</v>
      </c>
      <c r="D57" s="19">
        <v>3.2000000000000002E-3</v>
      </c>
      <c r="E57" s="19">
        <v>2.7000000000000001E-3</v>
      </c>
      <c r="F57" s="20">
        <v>72213</v>
      </c>
      <c r="G57" s="15">
        <v>221</v>
      </c>
      <c r="H57" s="20">
        <v>120410</v>
      </c>
      <c r="I57" s="15" t="s">
        <v>253</v>
      </c>
      <c r="J57" s="15">
        <v>1.77</v>
      </c>
      <c r="K57" s="15">
        <v>36.5</v>
      </c>
      <c r="L57" s="19">
        <v>0.63300000000000001</v>
      </c>
    </row>
    <row r="58" spans="1:12" x14ac:dyDescent="0.2">
      <c r="A58" s="15">
        <v>57</v>
      </c>
      <c r="B58" s="16" t="s">
        <v>60</v>
      </c>
      <c r="C58" s="18">
        <v>25620427</v>
      </c>
      <c r="D58" s="19">
        <v>3.0999999999999999E-3</v>
      </c>
      <c r="E58" s="19">
        <v>3.8399999999999997E-2</v>
      </c>
      <c r="F58" s="20">
        <v>947667</v>
      </c>
      <c r="G58" s="15">
        <v>140</v>
      </c>
      <c r="H58" s="20">
        <v>183630</v>
      </c>
      <c r="I58" s="20">
        <v>421693</v>
      </c>
      <c r="J58" s="15">
        <v>2.66</v>
      </c>
      <c r="K58" s="15">
        <v>23.3</v>
      </c>
      <c r="L58" s="19">
        <v>0.53600000000000003</v>
      </c>
    </row>
    <row r="59" spans="1:12" x14ac:dyDescent="0.2">
      <c r="A59" s="15">
        <v>58</v>
      </c>
      <c r="B59" s="16" t="s">
        <v>61</v>
      </c>
      <c r="C59" s="18">
        <v>25198821</v>
      </c>
      <c r="D59" s="19">
        <v>3.0999999999999999E-3</v>
      </c>
      <c r="E59" s="19">
        <v>2.9399999999999999E-2</v>
      </c>
      <c r="F59" s="20">
        <v>720226</v>
      </c>
      <c r="G59" s="15">
        <v>21</v>
      </c>
      <c r="H59" s="20">
        <v>1220190</v>
      </c>
      <c r="I59" s="15" t="s">
        <v>254</v>
      </c>
      <c r="J59" s="15">
        <v>5.42</v>
      </c>
      <c r="K59" s="15">
        <v>15.7</v>
      </c>
      <c r="L59" s="19">
        <v>0.44400000000000001</v>
      </c>
    </row>
    <row r="60" spans="1:12" x14ac:dyDescent="0.2">
      <c r="A60" s="15">
        <v>59</v>
      </c>
      <c r="B60" s="16" t="s">
        <v>62</v>
      </c>
      <c r="C60" s="18">
        <v>24074580</v>
      </c>
      <c r="D60" s="19">
        <v>2.8999999999999998E-3</v>
      </c>
      <c r="E60" s="19">
        <v>2.23E-2</v>
      </c>
      <c r="F60" s="20">
        <v>525799</v>
      </c>
      <c r="G60" s="15">
        <v>88</v>
      </c>
      <c r="H60" s="20">
        <v>273600</v>
      </c>
      <c r="I60" s="15" t="s">
        <v>255</v>
      </c>
      <c r="J60" s="15">
        <v>4</v>
      </c>
      <c r="K60" s="15">
        <v>17.7</v>
      </c>
      <c r="L60" s="19">
        <v>0.33700000000000002</v>
      </c>
    </row>
    <row r="61" spans="1:12" x14ac:dyDescent="0.2">
      <c r="A61" s="15">
        <v>60</v>
      </c>
      <c r="B61" s="16" t="s">
        <v>63</v>
      </c>
      <c r="C61" s="18">
        <v>23229470</v>
      </c>
      <c r="D61" s="19">
        <v>2.8E-3</v>
      </c>
      <c r="E61" s="19">
        <v>5.4000000000000003E-3</v>
      </c>
      <c r="F61" s="20">
        <v>125905</v>
      </c>
      <c r="G61" s="15">
        <v>370</v>
      </c>
      <c r="H61" s="20">
        <v>62710</v>
      </c>
      <c r="I61" s="15" t="s">
        <v>256</v>
      </c>
      <c r="J61" s="15">
        <v>1.94</v>
      </c>
      <c r="K61" s="15">
        <v>33.299999999999997</v>
      </c>
      <c r="L61" s="19">
        <v>0.18099999999999999</v>
      </c>
    </row>
    <row r="62" spans="1:12" x14ac:dyDescent="0.2">
      <c r="A62" s="15">
        <v>61</v>
      </c>
      <c r="B62" s="16" t="s">
        <v>257</v>
      </c>
      <c r="C62" s="18">
        <v>23112793</v>
      </c>
      <c r="D62" s="19">
        <v>2.8E-3</v>
      </c>
      <c r="E62" s="15" t="s">
        <v>258</v>
      </c>
      <c r="F62" s="15" t="s">
        <v>259</v>
      </c>
      <c r="G62" s="15">
        <v>653</v>
      </c>
      <c r="H62" s="20">
        <v>35410</v>
      </c>
      <c r="I62" s="15" t="s">
        <v>260</v>
      </c>
      <c r="J62" s="15">
        <v>0.86</v>
      </c>
      <c r="K62" s="15">
        <v>44.8</v>
      </c>
      <c r="L62" s="21">
        <v>0.84</v>
      </c>
    </row>
    <row r="63" spans="1:12" x14ac:dyDescent="0.2">
      <c r="A63" s="15">
        <v>62</v>
      </c>
      <c r="B63" s="16" t="s">
        <v>64</v>
      </c>
      <c r="C63" s="18">
        <v>22216120</v>
      </c>
      <c r="D63" s="19">
        <v>2.7000000000000001E-3</v>
      </c>
      <c r="E63" s="19">
        <v>2.5899999999999999E-2</v>
      </c>
      <c r="F63" s="20">
        <v>560834</v>
      </c>
      <c r="G63" s="15">
        <v>236</v>
      </c>
      <c r="H63" s="20">
        <v>94280</v>
      </c>
      <c r="I63" s="15" t="s">
        <v>261</v>
      </c>
      <c r="J63" s="15">
        <v>3.53</v>
      </c>
      <c r="K63" s="15">
        <v>18.100000000000001</v>
      </c>
      <c r="L63" s="19">
        <v>0.19800000000000001</v>
      </c>
    </row>
    <row r="64" spans="1:12" x14ac:dyDescent="0.2">
      <c r="A64" s="15">
        <v>63</v>
      </c>
      <c r="B64" s="16" t="s">
        <v>65</v>
      </c>
      <c r="C64" s="18">
        <v>21913874</v>
      </c>
      <c r="D64" s="19">
        <v>2.7000000000000001E-3</v>
      </c>
      <c r="E64" s="19">
        <v>2.81E-2</v>
      </c>
      <c r="F64" s="20">
        <v>598918</v>
      </c>
      <c r="G64" s="15">
        <v>29</v>
      </c>
      <c r="H64" s="20">
        <v>743390</v>
      </c>
      <c r="I64" s="20">
        <v>6562</v>
      </c>
      <c r="J64" s="15">
        <v>3.97</v>
      </c>
      <c r="K64" s="15">
        <v>17.899999999999999</v>
      </c>
      <c r="L64" s="19">
        <v>0.46800000000000003</v>
      </c>
    </row>
    <row r="65" spans="1:12" x14ac:dyDescent="0.2">
      <c r="A65" s="15">
        <v>64</v>
      </c>
      <c r="B65" s="16" t="s">
        <v>66</v>
      </c>
      <c r="C65" s="18">
        <v>21003705</v>
      </c>
      <c r="D65" s="19">
        <v>2.5999999999999999E-3</v>
      </c>
      <c r="E65" s="19">
        <v>3.4700000000000002E-2</v>
      </c>
      <c r="F65" s="20">
        <v>704582</v>
      </c>
      <c r="G65" s="15">
        <v>17</v>
      </c>
      <c r="H65" s="20">
        <v>1259200</v>
      </c>
      <c r="I65" s="15" t="s">
        <v>262</v>
      </c>
      <c r="J65" s="15">
        <v>5.94</v>
      </c>
      <c r="K65" s="15">
        <v>15.8</v>
      </c>
      <c r="L65" s="19">
        <v>0.224</v>
      </c>
    </row>
    <row r="66" spans="1:12" x14ac:dyDescent="0.2">
      <c r="A66" s="15">
        <v>65</v>
      </c>
      <c r="B66" s="16" t="s">
        <v>67</v>
      </c>
      <c r="C66" s="18">
        <v>20843754</v>
      </c>
      <c r="D66" s="19">
        <v>2.5000000000000001E-3</v>
      </c>
      <c r="E66" s="19">
        <v>1.2200000000000001E-2</v>
      </c>
      <c r="F66" s="20">
        <v>251183</v>
      </c>
      <c r="G66" s="15">
        <v>8</v>
      </c>
      <c r="H66" s="20">
        <v>2699700</v>
      </c>
      <c r="I66" s="15" t="s">
        <v>263</v>
      </c>
      <c r="J66" s="15">
        <v>2.95</v>
      </c>
      <c r="K66" s="15">
        <v>29.7</v>
      </c>
      <c r="L66" s="19">
        <v>0.55100000000000005</v>
      </c>
    </row>
    <row r="67" spans="1:12" x14ac:dyDescent="0.2">
      <c r="A67" s="15">
        <v>66</v>
      </c>
      <c r="B67" s="16" t="s">
        <v>68</v>
      </c>
      <c r="C67" s="18">
        <v>19859921</v>
      </c>
      <c r="D67" s="19">
        <v>2.3999999999999998E-3</v>
      </c>
      <c r="E67" s="19">
        <v>4.7999999999999996E-3</v>
      </c>
      <c r="F67" s="20">
        <v>95150</v>
      </c>
      <c r="G67" s="15">
        <v>27</v>
      </c>
      <c r="H67" s="20">
        <v>743532</v>
      </c>
      <c r="I67" s="20">
        <v>51712</v>
      </c>
      <c r="J67" s="15">
        <v>1.1299999999999999</v>
      </c>
      <c r="K67" s="15">
        <v>36.9</v>
      </c>
      <c r="L67" s="19">
        <v>0.84799999999999998</v>
      </c>
    </row>
    <row r="68" spans="1:12" x14ac:dyDescent="0.2">
      <c r="A68" s="15">
        <v>67</v>
      </c>
      <c r="B68" s="16" t="s">
        <v>69</v>
      </c>
      <c r="C68" s="18">
        <v>19654739</v>
      </c>
      <c r="D68" s="19">
        <v>2.3999999999999998E-3</v>
      </c>
      <c r="E68" s="19">
        <v>3.4000000000000002E-2</v>
      </c>
      <c r="F68" s="20">
        <v>645588</v>
      </c>
      <c r="G68" s="15">
        <v>31</v>
      </c>
      <c r="H68" s="20">
        <v>627340</v>
      </c>
      <c r="I68" s="20">
        <v>12077</v>
      </c>
      <c r="J68" s="15">
        <v>5.91</v>
      </c>
      <c r="K68" s="15">
        <v>15.6</v>
      </c>
      <c r="L68" s="19">
        <v>0.46600000000000003</v>
      </c>
    </row>
    <row r="69" spans="1:12" x14ac:dyDescent="0.2">
      <c r="A69" s="15">
        <v>68</v>
      </c>
      <c r="B69" s="16" t="s">
        <v>70</v>
      </c>
      <c r="C69" s="18">
        <v>18931966</v>
      </c>
      <c r="D69" s="19">
        <v>2.3E-3</v>
      </c>
      <c r="E69" s="19">
        <v>2.3199999999999998E-2</v>
      </c>
      <c r="F69" s="20">
        <v>429982</v>
      </c>
      <c r="G69" s="15">
        <v>98</v>
      </c>
      <c r="H69" s="20">
        <v>192530</v>
      </c>
      <c r="I69" s="15" t="s">
        <v>264</v>
      </c>
      <c r="J69" s="15">
        <v>3.71</v>
      </c>
      <c r="K69" s="15">
        <v>19.600000000000001</v>
      </c>
      <c r="L69" s="19">
        <v>0.52300000000000002</v>
      </c>
    </row>
    <row r="70" spans="1:12" x14ac:dyDescent="0.2">
      <c r="A70" s="15">
        <v>69</v>
      </c>
      <c r="B70" s="16" t="s">
        <v>71</v>
      </c>
      <c r="C70" s="18">
        <v>18908650</v>
      </c>
      <c r="D70" s="19">
        <v>2.3E-3</v>
      </c>
      <c r="E70" s="15" t="s">
        <v>219</v>
      </c>
      <c r="F70" s="15" t="s">
        <v>265</v>
      </c>
      <c r="G70" s="15">
        <v>82</v>
      </c>
      <c r="H70" s="20">
        <v>230170</v>
      </c>
      <c r="I70" s="15" t="s">
        <v>266</v>
      </c>
      <c r="J70" s="15">
        <v>1.71</v>
      </c>
      <c r="K70" s="15">
        <v>43.2</v>
      </c>
      <c r="L70" s="19">
        <v>0.55200000000000005</v>
      </c>
    </row>
    <row r="71" spans="1:12" x14ac:dyDescent="0.2">
      <c r="A71" s="15">
        <v>70</v>
      </c>
      <c r="B71" s="16" t="s">
        <v>72</v>
      </c>
      <c r="C71" s="18">
        <v>18687881</v>
      </c>
      <c r="D71" s="19">
        <v>2.3E-3</v>
      </c>
      <c r="E71" s="19">
        <v>1.5299999999999999E-2</v>
      </c>
      <c r="F71" s="20">
        <v>281522</v>
      </c>
      <c r="G71" s="15">
        <v>174</v>
      </c>
      <c r="H71" s="20">
        <v>107160</v>
      </c>
      <c r="I71" s="15" t="s">
        <v>267</v>
      </c>
      <c r="J71" s="15">
        <v>2.2599999999999998</v>
      </c>
      <c r="K71" s="15">
        <v>23.4</v>
      </c>
      <c r="L71" s="19">
        <v>0.56599999999999995</v>
      </c>
    </row>
    <row r="72" spans="1:12" x14ac:dyDescent="0.2">
      <c r="A72" s="15">
        <v>71</v>
      </c>
      <c r="B72" s="16" t="s">
        <v>73</v>
      </c>
      <c r="C72" s="18">
        <v>18346819</v>
      </c>
      <c r="D72" s="19">
        <v>2.2000000000000001E-3</v>
      </c>
      <c r="E72" s="19">
        <v>6.4999999999999997E-3</v>
      </c>
      <c r="F72" s="20">
        <v>118077</v>
      </c>
      <c r="G72" s="15">
        <v>544</v>
      </c>
      <c r="H72" s="20">
        <v>33720</v>
      </c>
      <c r="I72" s="20">
        <v>104681</v>
      </c>
      <c r="J72" s="15">
        <v>1.44</v>
      </c>
      <c r="K72" s="15">
        <v>41.5</v>
      </c>
      <c r="L72" s="19">
        <v>0.88900000000000001</v>
      </c>
    </row>
    <row r="73" spans="1:12" x14ac:dyDescent="0.2">
      <c r="A73" s="15">
        <v>72</v>
      </c>
      <c r="B73" s="16" t="s">
        <v>74</v>
      </c>
      <c r="C73" s="18">
        <v>18289896</v>
      </c>
      <c r="D73" s="19">
        <v>2.2000000000000001E-3</v>
      </c>
      <c r="E73" s="19">
        <v>8.5000000000000006E-3</v>
      </c>
      <c r="F73" s="20">
        <v>154418</v>
      </c>
      <c r="G73" s="15">
        <v>74</v>
      </c>
      <c r="H73" s="20">
        <v>248360</v>
      </c>
      <c r="I73" s="15" t="s">
        <v>268</v>
      </c>
      <c r="J73" s="15">
        <v>1.79</v>
      </c>
      <c r="K73" s="15">
        <v>29.3</v>
      </c>
      <c r="L73" s="21">
        <v>0.66</v>
      </c>
    </row>
    <row r="74" spans="1:12" x14ac:dyDescent="0.2">
      <c r="A74" s="15">
        <v>73</v>
      </c>
      <c r="B74" s="16" t="s">
        <v>75</v>
      </c>
      <c r="C74" s="18">
        <v>17847982</v>
      </c>
      <c r="D74" s="19">
        <v>2.2000000000000001E-3</v>
      </c>
      <c r="E74" s="19">
        <v>1.1900000000000001E-2</v>
      </c>
      <c r="F74" s="20">
        <v>209181</v>
      </c>
      <c r="G74" s="15">
        <v>101</v>
      </c>
      <c r="H74" s="20">
        <v>176520</v>
      </c>
      <c r="I74" s="15" t="s">
        <v>269</v>
      </c>
      <c r="J74" s="15">
        <v>2.5099999999999998</v>
      </c>
      <c r="K74" s="15">
        <v>26.2</v>
      </c>
      <c r="L74" s="19">
        <v>0.26500000000000001</v>
      </c>
    </row>
    <row r="75" spans="1:12" x14ac:dyDescent="0.2">
      <c r="A75" s="15">
        <v>74</v>
      </c>
      <c r="B75" s="16" t="s">
        <v>76</v>
      </c>
      <c r="C75" s="18">
        <v>16950795</v>
      </c>
      <c r="D75" s="19">
        <v>2.0999999999999999E-3</v>
      </c>
      <c r="E75" s="19">
        <v>1.9E-2</v>
      </c>
      <c r="F75" s="20">
        <v>316422</v>
      </c>
      <c r="G75" s="15">
        <v>44</v>
      </c>
      <c r="H75" s="20">
        <v>386850</v>
      </c>
      <c r="I75" s="15" t="s">
        <v>270</v>
      </c>
      <c r="J75" s="15">
        <v>3.62</v>
      </c>
      <c r="K75" s="15">
        <v>18.100000000000001</v>
      </c>
      <c r="L75" s="19">
        <v>0.379</v>
      </c>
    </row>
    <row r="76" spans="1:12" x14ac:dyDescent="0.2">
      <c r="A76" s="15">
        <v>75</v>
      </c>
      <c r="B76" s="16" t="s">
        <v>77</v>
      </c>
      <c r="C76" s="18">
        <v>15099727</v>
      </c>
      <c r="D76" s="19">
        <v>1.8E-3</v>
      </c>
      <c r="E76" s="19">
        <v>2.3400000000000001E-2</v>
      </c>
      <c r="F76" s="20">
        <v>344942</v>
      </c>
      <c r="G76" s="15">
        <v>61</v>
      </c>
      <c r="H76" s="20">
        <v>245720</v>
      </c>
      <c r="I76" s="15" t="s">
        <v>271</v>
      </c>
      <c r="J76" s="15">
        <v>4.04</v>
      </c>
      <c r="K76" s="15">
        <v>18.3</v>
      </c>
      <c r="L76" s="19">
        <v>0.40300000000000002</v>
      </c>
    </row>
    <row r="77" spans="1:12" x14ac:dyDescent="0.2">
      <c r="A77" s="15">
        <v>76</v>
      </c>
      <c r="B77" s="16" t="s">
        <v>78</v>
      </c>
      <c r="C77" s="18">
        <v>14814460</v>
      </c>
      <c r="D77" s="19">
        <v>1.8E-3</v>
      </c>
      <c r="E77" s="19">
        <v>2.4299999999999999E-2</v>
      </c>
      <c r="F77" s="20">
        <v>351736</v>
      </c>
      <c r="G77" s="15">
        <v>131</v>
      </c>
      <c r="H77" s="20">
        <v>112760</v>
      </c>
      <c r="I77" s="15" t="s">
        <v>272</v>
      </c>
      <c r="J77" s="15">
        <v>4.42</v>
      </c>
      <c r="K77" s="15">
        <v>18</v>
      </c>
      <c r="L77" s="19">
        <v>0.47799999999999998</v>
      </c>
    </row>
    <row r="78" spans="1:12" x14ac:dyDescent="0.2">
      <c r="A78" s="15">
        <v>77</v>
      </c>
      <c r="B78" s="16" t="s">
        <v>79</v>
      </c>
      <c r="C78" s="18">
        <v>14569341</v>
      </c>
      <c r="D78" s="19">
        <v>1.8E-3</v>
      </c>
      <c r="E78" s="19">
        <v>2.1899999999999999E-2</v>
      </c>
      <c r="F78" s="20">
        <v>312774</v>
      </c>
      <c r="G78" s="15">
        <v>591</v>
      </c>
      <c r="H78" s="20">
        <v>24670</v>
      </c>
      <c r="I78" s="20">
        <v>6282</v>
      </c>
      <c r="J78" s="15">
        <v>3.59</v>
      </c>
      <c r="K78" s="15">
        <v>19.899999999999999</v>
      </c>
      <c r="L78" s="19">
        <v>0.183</v>
      </c>
    </row>
    <row r="79" spans="1:12" x14ac:dyDescent="0.2">
      <c r="A79" s="15">
        <v>78</v>
      </c>
      <c r="B79" s="16" t="s">
        <v>80</v>
      </c>
      <c r="C79" s="18">
        <v>14390003</v>
      </c>
      <c r="D79" s="19">
        <v>1.6999999999999999E-3</v>
      </c>
      <c r="E79" s="19">
        <v>2.4400000000000002E-2</v>
      </c>
      <c r="F79" s="20">
        <v>342217</v>
      </c>
      <c r="G79" s="15">
        <v>560</v>
      </c>
      <c r="H79" s="20">
        <v>25680</v>
      </c>
      <c r="I79" s="15" t="s">
        <v>273</v>
      </c>
      <c r="J79" s="15">
        <v>4.67</v>
      </c>
      <c r="K79" s="15">
        <v>16.399999999999999</v>
      </c>
      <c r="L79" s="19">
        <v>0.14899999999999999</v>
      </c>
    </row>
    <row r="80" spans="1:12" x14ac:dyDescent="0.2">
      <c r="A80" s="15">
        <v>79</v>
      </c>
      <c r="B80" s="16" t="s">
        <v>81</v>
      </c>
      <c r="C80" s="18">
        <v>12581843</v>
      </c>
      <c r="D80" s="19">
        <v>1.5E-3</v>
      </c>
      <c r="E80" s="19">
        <v>1.3599999999999999E-2</v>
      </c>
      <c r="F80" s="20">
        <v>168528</v>
      </c>
      <c r="G80" s="15">
        <v>12</v>
      </c>
      <c r="H80" s="20">
        <v>1083300</v>
      </c>
      <c r="I80" s="15" t="s">
        <v>274</v>
      </c>
      <c r="J80" s="15">
        <v>2.5</v>
      </c>
      <c r="K80" s="15">
        <v>25.2</v>
      </c>
      <c r="L80" s="19">
        <v>0.70599999999999996</v>
      </c>
    </row>
    <row r="81" spans="1:12" x14ac:dyDescent="0.2">
      <c r="A81" s="15">
        <v>80</v>
      </c>
      <c r="B81" s="16" t="s">
        <v>82</v>
      </c>
      <c r="C81" s="18">
        <v>12348573</v>
      </c>
      <c r="D81" s="19">
        <v>1.5E-3</v>
      </c>
      <c r="E81" s="19">
        <v>5.7999999999999996E-3</v>
      </c>
      <c r="F81" s="20">
        <v>71464</v>
      </c>
      <c r="G81" s="15">
        <v>79</v>
      </c>
      <c r="H81" s="20">
        <v>155360</v>
      </c>
      <c r="I81" s="15" t="s">
        <v>275</v>
      </c>
      <c r="J81" s="15">
        <v>1.8</v>
      </c>
      <c r="K81" s="15">
        <v>32.9</v>
      </c>
      <c r="L81" s="19">
        <v>0.71699999999999997</v>
      </c>
    </row>
    <row r="82" spans="1:12" x14ac:dyDescent="0.2">
      <c r="A82" s="15">
        <v>81</v>
      </c>
      <c r="B82" s="16" t="s">
        <v>83</v>
      </c>
      <c r="C82" s="18">
        <v>12188788</v>
      </c>
      <c r="D82" s="19">
        <v>1.5E-3</v>
      </c>
      <c r="E82" s="19">
        <v>2.0500000000000001E-2</v>
      </c>
      <c r="F82" s="20">
        <v>245380</v>
      </c>
      <c r="G82" s="15">
        <v>20</v>
      </c>
      <c r="H82" s="20">
        <v>610952</v>
      </c>
      <c r="I82" s="20">
        <v>6145</v>
      </c>
      <c r="J82" s="15">
        <v>3.71</v>
      </c>
      <c r="K82" s="15">
        <v>18.7</v>
      </c>
      <c r="L82" s="19">
        <v>0.27700000000000002</v>
      </c>
    </row>
    <row r="83" spans="1:12" x14ac:dyDescent="0.2">
      <c r="A83" s="15">
        <v>82</v>
      </c>
      <c r="B83" s="16" t="s">
        <v>84</v>
      </c>
      <c r="C83" s="18">
        <v>11906095</v>
      </c>
      <c r="D83" s="19">
        <v>1.4E-3</v>
      </c>
      <c r="E83" s="19">
        <v>1.1299999999999999E-2</v>
      </c>
      <c r="F83" s="20">
        <v>133538</v>
      </c>
      <c r="G83" s="15">
        <v>432</v>
      </c>
      <c r="H83" s="20">
        <v>27560</v>
      </c>
      <c r="I83" s="15" t="s">
        <v>276</v>
      </c>
      <c r="J83" s="15">
        <v>2.59</v>
      </c>
      <c r="K83" s="15">
        <v>24.1</v>
      </c>
      <c r="L83" s="19">
        <v>0.61699999999999999</v>
      </c>
    </row>
    <row r="84" spans="1:12" x14ac:dyDescent="0.2">
      <c r="A84" s="15">
        <v>83</v>
      </c>
      <c r="B84" s="16" t="s">
        <v>85</v>
      </c>
      <c r="C84" s="18">
        <v>11758603</v>
      </c>
      <c r="D84" s="19">
        <v>1.4E-3</v>
      </c>
      <c r="E84" s="19">
        <v>1.6999999999999999E-3</v>
      </c>
      <c r="F84" s="20">
        <v>19840</v>
      </c>
      <c r="G84" s="15">
        <v>388</v>
      </c>
      <c r="H84" s="20">
        <v>30280</v>
      </c>
      <c r="I84" s="20">
        <v>31989</v>
      </c>
      <c r="J84" s="15">
        <v>1.39</v>
      </c>
      <c r="K84" s="15">
        <v>41.9</v>
      </c>
      <c r="L84" s="19">
        <v>0.98799999999999999</v>
      </c>
    </row>
    <row r="85" spans="1:12" x14ac:dyDescent="0.2">
      <c r="A85" s="15">
        <v>84</v>
      </c>
      <c r="B85" s="16" t="s">
        <v>86</v>
      </c>
      <c r="C85" s="18">
        <v>11520684</v>
      </c>
      <c r="D85" s="19">
        <v>1.4E-3</v>
      </c>
      <c r="E85" s="15" t="s">
        <v>277</v>
      </c>
      <c r="F85" s="15" t="s">
        <v>278</v>
      </c>
      <c r="G85" s="15">
        <v>130</v>
      </c>
      <c r="H85" s="20">
        <v>88780</v>
      </c>
      <c r="I85" s="15" t="s">
        <v>279</v>
      </c>
      <c r="J85" s="15">
        <v>2.57</v>
      </c>
      <c r="K85" s="15">
        <v>24.7</v>
      </c>
      <c r="L85" s="19">
        <v>0.85099999999999998</v>
      </c>
    </row>
    <row r="86" spans="1:12" x14ac:dyDescent="0.2">
      <c r="A86" s="15">
        <v>85</v>
      </c>
      <c r="B86" s="16" t="s">
        <v>87</v>
      </c>
      <c r="C86" s="18">
        <v>11520487</v>
      </c>
      <c r="D86" s="19">
        <v>1.4E-3</v>
      </c>
      <c r="E86" s="19">
        <v>8.0999999999999996E-3</v>
      </c>
      <c r="F86" s="20">
        <v>92930</v>
      </c>
      <c r="G86" s="15">
        <v>238</v>
      </c>
      <c r="H86" s="20">
        <v>48320</v>
      </c>
      <c r="I86" s="15" t="s">
        <v>280</v>
      </c>
      <c r="J86" s="15">
        <v>2.19</v>
      </c>
      <c r="K86" s="15">
        <v>28.3</v>
      </c>
      <c r="L86" s="19">
        <v>0.86399999999999999</v>
      </c>
    </row>
    <row r="87" spans="1:12" x14ac:dyDescent="0.2">
      <c r="A87" s="15">
        <v>86</v>
      </c>
      <c r="B87" s="16" t="s">
        <v>88</v>
      </c>
      <c r="C87" s="18">
        <v>11346000</v>
      </c>
      <c r="D87" s="19">
        <v>1.4E-3</v>
      </c>
      <c r="E87" s="19">
        <v>2.8899999999999999E-2</v>
      </c>
      <c r="F87" s="20">
        <v>318871</v>
      </c>
      <c r="G87" s="15">
        <v>136</v>
      </c>
      <c r="H87" s="20">
        <v>83600</v>
      </c>
      <c r="I87" s="20">
        <v>158634</v>
      </c>
      <c r="J87" s="15">
        <v>1.21</v>
      </c>
      <c r="K87" s="15">
        <v>31.6</v>
      </c>
      <c r="L87" s="19">
        <v>0.81100000000000005</v>
      </c>
    </row>
    <row r="88" spans="1:12" x14ac:dyDescent="0.2">
      <c r="A88" s="15">
        <v>87</v>
      </c>
      <c r="B88" s="16" t="s">
        <v>89</v>
      </c>
      <c r="C88" s="18">
        <v>11005850</v>
      </c>
      <c r="D88" s="19">
        <v>1.2999999999999999E-3</v>
      </c>
      <c r="E88" s="19">
        <v>1.66E-2</v>
      </c>
      <c r="F88" s="20">
        <v>180147</v>
      </c>
      <c r="G88" s="15">
        <v>98</v>
      </c>
      <c r="H88" s="20">
        <v>111890</v>
      </c>
      <c r="I88" s="15" t="s">
        <v>281</v>
      </c>
      <c r="J88" s="15">
        <v>2.4500000000000002</v>
      </c>
      <c r="K88" s="15">
        <v>24.2</v>
      </c>
      <c r="L88" s="19">
        <v>0.58299999999999996</v>
      </c>
    </row>
    <row r="89" spans="1:12" x14ac:dyDescent="0.2">
      <c r="A89" s="15">
        <v>88</v>
      </c>
      <c r="B89" s="16" t="s">
        <v>90</v>
      </c>
      <c r="C89" s="18">
        <v>10937203</v>
      </c>
      <c r="D89" s="19">
        <v>1.2999999999999999E-3</v>
      </c>
      <c r="E89" s="15" t="s">
        <v>282</v>
      </c>
      <c r="F89" s="15" t="s">
        <v>283</v>
      </c>
      <c r="G89" s="15">
        <v>103</v>
      </c>
      <c r="H89" s="20">
        <v>106440</v>
      </c>
      <c r="I89" s="15" t="s">
        <v>284</v>
      </c>
      <c r="J89" s="15">
        <v>1.45</v>
      </c>
      <c r="K89" s="15">
        <v>42.2</v>
      </c>
      <c r="L89" s="19">
        <v>0.81899999999999995</v>
      </c>
    </row>
    <row r="90" spans="1:12" x14ac:dyDescent="0.2">
      <c r="A90" s="15">
        <v>89</v>
      </c>
      <c r="B90" s="16" t="s">
        <v>91</v>
      </c>
      <c r="C90" s="18">
        <v>10786734</v>
      </c>
      <c r="D90" s="19">
        <v>1.2999999999999999E-3</v>
      </c>
      <c r="E90" s="19">
        <v>1.8499999999999999E-2</v>
      </c>
      <c r="F90" s="20">
        <v>195807</v>
      </c>
      <c r="G90" s="15">
        <v>77</v>
      </c>
      <c r="H90" s="20">
        <v>139960</v>
      </c>
      <c r="I90" s="15" t="s">
        <v>285</v>
      </c>
      <c r="J90" s="15">
        <v>2.99</v>
      </c>
      <c r="K90" s="15">
        <v>22.2</v>
      </c>
      <c r="L90" s="19">
        <v>0.27700000000000002</v>
      </c>
    </row>
    <row r="91" spans="1:12" x14ac:dyDescent="0.2">
      <c r="A91" s="15">
        <v>90</v>
      </c>
      <c r="B91" s="16" t="s">
        <v>92</v>
      </c>
      <c r="C91" s="18">
        <v>10762817</v>
      </c>
      <c r="D91" s="19">
        <v>1.2999999999999999E-3</v>
      </c>
      <c r="E91" s="19">
        <v>1.7600000000000001E-2</v>
      </c>
      <c r="F91" s="20">
        <v>186315</v>
      </c>
      <c r="G91" s="15">
        <v>24</v>
      </c>
      <c r="H91" s="20">
        <v>452860</v>
      </c>
      <c r="I91" s="15" t="s">
        <v>286</v>
      </c>
      <c r="J91" s="15">
        <v>3.03</v>
      </c>
      <c r="K91" s="15">
        <v>22.8</v>
      </c>
      <c r="L91" s="19">
        <v>0.126</v>
      </c>
    </row>
    <row r="92" spans="1:12" x14ac:dyDescent="0.2">
      <c r="A92" s="15">
        <v>91</v>
      </c>
      <c r="B92" s="16" t="s">
        <v>93</v>
      </c>
      <c r="C92" s="18">
        <v>10656633</v>
      </c>
      <c r="D92" s="19">
        <v>1.2999999999999999E-3</v>
      </c>
      <c r="E92" s="19">
        <v>4.7000000000000002E-3</v>
      </c>
      <c r="F92" s="20">
        <v>49634</v>
      </c>
      <c r="G92" s="15">
        <v>26</v>
      </c>
      <c r="H92" s="20">
        <v>410340</v>
      </c>
      <c r="I92" s="20">
        <v>47079</v>
      </c>
      <c r="J92" s="15">
        <v>1.44</v>
      </c>
      <c r="K92" s="15">
        <v>40.299999999999997</v>
      </c>
      <c r="L92" s="19">
        <v>0.874</v>
      </c>
    </row>
    <row r="93" spans="1:12" x14ac:dyDescent="0.2">
      <c r="A93" s="15">
        <v>92</v>
      </c>
      <c r="B93" s="16" t="s">
        <v>94</v>
      </c>
      <c r="C93" s="18">
        <v>10609239</v>
      </c>
      <c r="D93" s="19">
        <v>1.2999999999999999E-3</v>
      </c>
      <c r="E93" s="15" t="s">
        <v>287</v>
      </c>
      <c r="F93" s="15" t="s">
        <v>288</v>
      </c>
      <c r="G93" s="15">
        <v>137</v>
      </c>
      <c r="H93" s="20">
        <v>77240</v>
      </c>
      <c r="I93" s="15" t="s">
        <v>289</v>
      </c>
      <c r="J93" s="15">
        <v>1.47</v>
      </c>
      <c r="K93" s="15">
        <v>43.8</v>
      </c>
      <c r="L93" s="21">
        <v>0.75</v>
      </c>
    </row>
    <row r="94" spans="1:12" x14ac:dyDescent="0.2">
      <c r="A94" s="15">
        <v>93</v>
      </c>
      <c r="B94" s="16" t="s">
        <v>95</v>
      </c>
      <c r="C94" s="18">
        <v>10411834</v>
      </c>
      <c r="D94" s="19">
        <v>1.2999999999999999E-3</v>
      </c>
      <c r="E94" s="15" t="s">
        <v>290</v>
      </c>
      <c r="F94" s="15" t="s">
        <v>291</v>
      </c>
      <c r="G94" s="15">
        <v>114</v>
      </c>
      <c r="H94" s="20">
        <v>91590</v>
      </c>
      <c r="I94" s="20">
        <v>16472</v>
      </c>
      <c r="J94" s="15">
        <v>1.52</v>
      </c>
      <c r="K94" s="15">
        <v>46.9</v>
      </c>
      <c r="L94" s="19">
        <v>0.66500000000000004</v>
      </c>
    </row>
    <row r="95" spans="1:12" x14ac:dyDescent="0.2">
      <c r="A95" s="15">
        <v>94</v>
      </c>
      <c r="B95" s="16" t="s">
        <v>96</v>
      </c>
      <c r="C95" s="18">
        <v>10397713</v>
      </c>
      <c r="D95" s="19">
        <v>1.2999999999999999E-3</v>
      </c>
      <c r="E95" s="19">
        <v>5.8999999999999999E-3</v>
      </c>
      <c r="F95" s="20">
        <v>61136</v>
      </c>
      <c r="G95" s="15">
        <v>126</v>
      </c>
      <c r="H95" s="20">
        <v>82658</v>
      </c>
      <c r="I95" s="20">
        <v>8731</v>
      </c>
      <c r="J95" s="15">
        <v>1.67</v>
      </c>
      <c r="K95" s="15">
        <v>33.6</v>
      </c>
      <c r="L95" s="19">
        <v>0.58699999999999997</v>
      </c>
    </row>
    <row r="96" spans="1:12" x14ac:dyDescent="0.2">
      <c r="A96" s="15">
        <v>95</v>
      </c>
      <c r="B96" s="16" t="s">
        <v>97</v>
      </c>
      <c r="C96" s="18">
        <v>9938844</v>
      </c>
      <c r="D96" s="19">
        <v>1.1999999999999999E-3</v>
      </c>
      <c r="E96" s="15" t="s">
        <v>292</v>
      </c>
      <c r="F96" s="15" t="s">
        <v>293</v>
      </c>
      <c r="G96" s="15">
        <v>77</v>
      </c>
      <c r="H96" s="20">
        <v>128900</v>
      </c>
      <c r="I96" s="20">
        <v>16636</v>
      </c>
      <c r="J96" s="15">
        <v>1.34</v>
      </c>
      <c r="K96" s="15">
        <v>46.8</v>
      </c>
      <c r="L96" s="19">
        <v>0.89500000000000002</v>
      </c>
    </row>
    <row r="97" spans="1:12" x14ac:dyDescent="0.2">
      <c r="A97" s="15">
        <v>96</v>
      </c>
      <c r="B97" s="16" t="s">
        <v>98</v>
      </c>
      <c r="C97" s="18">
        <v>9721608</v>
      </c>
      <c r="D97" s="19">
        <v>1.1999999999999999E-3</v>
      </c>
      <c r="E97" s="19">
        <v>2.1700000000000001E-2</v>
      </c>
      <c r="F97" s="20">
        <v>206372</v>
      </c>
      <c r="G97" s="15">
        <v>179</v>
      </c>
      <c r="H97" s="20">
        <v>54390</v>
      </c>
      <c r="I97" s="15" t="s">
        <v>294</v>
      </c>
      <c r="J97" s="15">
        <v>4.07</v>
      </c>
      <c r="K97" s="15">
        <v>19.100000000000001</v>
      </c>
      <c r="L97" s="19">
        <v>0.442</v>
      </c>
    </row>
    <row r="98" spans="1:12" x14ac:dyDescent="0.2">
      <c r="A98" s="15">
        <v>97</v>
      </c>
      <c r="B98" s="16" t="s">
        <v>99</v>
      </c>
      <c r="C98" s="18">
        <v>9632287</v>
      </c>
      <c r="D98" s="19">
        <v>1.1999999999999999E-3</v>
      </c>
      <c r="E98" s="15" t="s">
        <v>295</v>
      </c>
      <c r="F98" s="15" t="s">
        <v>296</v>
      </c>
      <c r="G98" s="15">
        <v>106</v>
      </c>
      <c r="H98" s="20">
        <v>90530</v>
      </c>
      <c r="I98" s="15" t="s">
        <v>297</v>
      </c>
      <c r="J98" s="15">
        <v>1.5</v>
      </c>
      <c r="K98" s="15">
        <v>43.9</v>
      </c>
      <c r="L98" s="21">
        <v>0.72</v>
      </c>
    </row>
    <row r="99" spans="1:12" x14ac:dyDescent="0.2">
      <c r="A99" s="15">
        <v>98</v>
      </c>
      <c r="B99" s="16" t="s">
        <v>100</v>
      </c>
      <c r="C99" s="18">
        <v>9517181</v>
      </c>
      <c r="D99" s="19">
        <v>1.1999999999999999E-3</v>
      </c>
      <c r="E99" s="19">
        <v>1.3899999999999999E-2</v>
      </c>
      <c r="F99" s="20">
        <v>130160</v>
      </c>
      <c r="G99" s="15">
        <v>440</v>
      </c>
      <c r="H99" s="20">
        <v>21640</v>
      </c>
      <c r="I99" s="20">
        <v>11466</v>
      </c>
      <c r="J99" s="15">
        <v>2.75</v>
      </c>
      <c r="K99" s="15">
        <v>29.2</v>
      </c>
      <c r="L99" s="19">
        <v>0.91400000000000003</v>
      </c>
    </row>
    <row r="100" spans="1:12" x14ac:dyDescent="0.2">
      <c r="A100" s="15">
        <v>99</v>
      </c>
      <c r="B100" s="16" t="s">
        <v>101</v>
      </c>
      <c r="C100" s="18">
        <v>9113574</v>
      </c>
      <c r="D100" s="19">
        <v>1.1000000000000001E-3</v>
      </c>
      <c r="E100" s="15" t="s">
        <v>298</v>
      </c>
      <c r="F100" s="15" t="s">
        <v>299</v>
      </c>
      <c r="G100" s="15">
        <v>111</v>
      </c>
      <c r="H100" s="20">
        <v>82409</v>
      </c>
      <c r="I100" s="20">
        <v>11254</v>
      </c>
      <c r="J100" s="15">
        <v>1.33</v>
      </c>
      <c r="K100" s="15">
        <v>43.6</v>
      </c>
      <c r="L100" s="19">
        <v>0.58599999999999997</v>
      </c>
    </row>
    <row r="101" spans="1:12" x14ac:dyDescent="0.2">
      <c r="A101" s="15">
        <v>100</v>
      </c>
      <c r="B101" s="16" t="s">
        <v>102</v>
      </c>
      <c r="C101" s="18">
        <v>8997603</v>
      </c>
      <c r="D101" s="19">
        <v>1.1000000000000001E-3</v>
      </c>
      <c r="E101" s="15" t="s">
        <v>300</v>
      </c>
      <c r="F101" s="15" t="s">
        <v>301</v>
      </c>
      <c r="G101" s="15">
        <v>44</v>
      </c>
      <c r="H101" s="20">
        <v>202910</v>
      </c>
      <c r="I101" s="15" t="s">
        <v>302</v>
      </c>
      <c r="J101" s="15">
        <v>1.23</v>
      </c>
      <c r="K101" s="15">
        <v>41.3</v>
      </c>
      <c r="L101" s="19">
        <v>0.84399999999999997</v>
      </c>
    </row>
    <row r="102" spans="1:12" x14ac:dyDescent="0.2">
      <c r="A102" s="15">
        <v>101</v>
      </c>
      <c r="B102" s="16" t="s">
        <v>103</v>
      </c>
      <c r="C102" s="18">
        <v>8967407</v>
      </c>
      <c r="D102" s="19">
        <v>1.1000000000000001E-3</v>
      </c>
      <c r="E102" s="19">
        <v>5.1000000000000004E-3</v>
      </c>
      <c r="F102" s="20">
        <v>45426</v>
      </c>
      <c r="G102" s="15">
        <v>227</v>
      </c>
      <c r="H102" s="20">
        <v>39516</v>
      </c>
      <c r="I102" s="20">
        <v>37253</v>
      </c>
      <c r="J102" s="15">
        <v>1.44</v>
      </c>
      <c r="K102" s="15">
        <v>42.9</v>
      </c>
      <c r="L102" s="19">
        <v>0.74399999999999999</v>
      </c>
    </row>
    <row r="103" spans="1:12" x14ac:dyDescent="0.2">
      <c r="A103" s="15">
        <v>102</v>
      </c>
      <c r="B103" s="16" t="s">
        <v>104</v>
      </c>
      <c r="C103" s="18">
        <v>8819794</v>
      </c>
      <c r="D103" s="19">
        <v>1.1000000000000001E-3</v>
      </c>
      <c r="E103" s="19">
        <v>2.06E-2</v>
      </c>
      <c r="F103" s="20">
        <v>177772</v>
      </c>
      <c r="G103" s="15">
        <v>122</v>
      </c>
      <c r="H103" s="20">
        <v>72180</v>
      </c>
      <c r="I103" s="15" t="s">
        <v>303</v>
      </c>
      <c r="J103" s="15">
        <v>3.61</v>
      </c>
      <c r="K103" s="15">
        <v>19.7</v>
      </c>
      <c r="L103" s="19">
        <v>0.45500000000000002</v>
      </c>
    </row>
    <row r="104" spans="1:12" x14ac:dyDescent="0.2">
      <c r="A104" s="15">
        <v>103</v>
      </c>
      <c r="B104" s="16" t="s">
        <v>105</v>
      </c>
      <c r="C104" s="18">
        <v>7873046</v>
      </c>
      <c r="D104" s="19">
        <v>9.6000000000000002E-4</v>
      </c>
      <c r="E104" s="19">
        <v>1.3299999999999999E-2</v>
      </c>
      <c r="F104" s="20">
        <v>103227</v>
      </c>
      <c r="G104" s="15">
        <v>34</v>
      </c>
      <c r="H104" s="20">
        <v>230800</v>
      </c>
      <c r="I104" s="15" t="s">
        <v>304</v>
      </c>
      <c r="J104" s="15">
        <v>2.36</v>
      </c>
      <c r="K104" s="15">
        <v>24.9</v>
      </c>
      <c r="L104" s="19">
        <v>0.38300000000000001</v>
      </c>
    </row>
    <row r="105" spans="1:12" x14ac:dyDescent="0.2">
      <c r="A105" s="15">
        <v>104</v>
      </c>
      <c r="B105" s="16" t="s">
        <v>106</v>
      </c>
      <c r="C105" s="18">
        <v>7618847</v>
      </c>
      <c r="D105" s="19">
        <v>9.3000000000000005E-4</v>
      </c>
      <c r="E105" s="19">
        <v>1.66E-2</v>
      </c>
      <c r="F105" s="20">
        <v>124349</v>
      </c>
      <c r="G105" s="15">
        <v>16</v>
      </c>
      <c r="H105" s="20">
        <v>469930</v>
      </c>
      <c r="I105" s="20">
        <v>13268</v>
      </c>
      <c r="J105" s="15">
        <v>2.63</v>
      </c>
      <c r="K105" s="15">
        <v>26.9</v>
      </c>
      <c r="L105" s="19">
        <v>0.46500000000000002</v>
      </c>
    </row>
    <row r="106" spans="1:12" x14ac:dyDescent="0.2">
      <c r="A106" s="15">
        <v>105</v>
      </c>
      <c r="B106" s="16" t="s">
        <v>107</v>
      </c>
      <c r="C106" s="18">
        <v>7458555</v>
      </c>
      <c r="D106" s="19">
        <v>9.1E-4</v>
      </c>
      <c r="E106" s="19">
        <v>1.0500000000000001E-2</v>
      </c>
      <c r="F106" s="20">
        <v>77532</v>
      </c>
      <c r="G106" s="15">
        <v>4</v>
      </c>
      <c r="H106" s="20">
        <v>1759540</v>
      </c>
      <c r="I106" s="15" t="s">
        <v>305</v>
      </c>
      <c r="J106" s="15">
        <v>2.25</v>
      </c>
      <c r="K106" s="15">
        <v>27.7</v>
      </c>
      <c r="L106" s="19">
        <v>0.77500000000000002</v>
      </c>
    </row>
    <row r="107" spans="1:12" x14ac:dyDescent="0.2">
      <c r="A107" s="15">
        <v>106</v>
      </c>
      <c r="B107" s="16" t="s">
        <v>306</v>
      </c>
      <c r="C107" s="18">
        <v>7396076</v>
      </c>
      <c r="D107" s="19">
        <v>8.9999999999999998E-4</v>
      </c>
      <c r="E107" s="15" t="s">
        <v>307</v>
      </c>
      <c r="F107" s="15" t="s">
        <v>308</v>
      </c>
      <c r="G107" s="20">
        <v>7044</v>
      </c>
      <c r="H107" s="20">
        <v>1050</v>
      </c>
      <c r="I107" s="20">
        <v>17863</v>
      </c>
      <c r="J107" s="15">
        <v>0.73</v>
      </c>
      <c r="K107" s="15">
        <v>47.4</v>
      </c>
    </row>
    <row r="108" spans="1:12" x14ac:dyDescent="0.2">
      <c r="A108" s="15">
        <v>107</v>
      </c>
      <c r="B108" s="16" t="s">
        <v>108</v>
      </c>
      <c r="C108" s="18">
        <v>7295034</v>
      </c>
      <c r="D108" s="19">
        <v>8.8999999999999995E-4</v>
      </c>
      <c r="E108" s="19">
        <v>1.52E-2</v>
      </c>
      <c r="F108" s="20">
        <v>109025</v>
      </c>
      <c r="G108" s="15">
        <v>38</v>
      </c>
      <c r="H108" s="20">
        <v>191800</v>
      </c>
      <c r="I108" s="20">
        <v>1815</v>
      </c>
      <c r="J108" s="15">
        <v>2.75</v>
      </c>
      <c r="K108" s="15">
        <v>25.4</v>
      </c>
      <c r="L108" s="19">
        <v>0.35299999999999998</v>
      </c>
    </row>
    <row r="109" spans="1:12" x14ac:dyDescent="0.2">
      <c r="A109" s="15">
        <v>108</v>
      </c>
      <c r="B109" s="16" t="s">
        <v>109</v>
      </c>
      <c r="C109" s="18">
        <v>7013078</v>
      </c>
      <c r="D109" s="19">
        <v>8.4999999999999995E-4</v>
      </c>
      <c r="E109" s="19">
        <v>1.21E-2</v>
      </c>
      <c r="F109" s="20">
        <v>83925</v>
      </c>
      <c r="G109" s="15">
        <v>18</v>
      </c>
      <c r="H109" s="20">
        <v>397300</v>
      </c>
      <c r="I109" s="15" t="s">
        <v>309</v>
      </c>
      <c r="J109" s="15">
        <v>2.4</v>
      </c>
      <c r="K109" s="15">
        <v>27</v>
      </c>
      <c r="L109" s="21">
        <v>0.68</v>
      </c>
    </row>
    <row r="110" spans="1:12" x14ac:dyDescent="0.2">
      <c r="A110" s="15">
        <v>109</v>
      </c>
      <c r="B110" s="16" t="s">
        <v>110</v>
      </c>
      <c r="C110" s="18">
        <v>7007502</v>
      </c>
      <c r="D110" s="19">
        <v>8.4999999999999995E-4</v>
      </c>
      <c r="E110" s="19">
        <v>1.32E-2</v>
      </c>
      <c r="F110" s="20">
        <v>91362</v>
      </c>
      <c r="G110" s="15">
        <v>58</v>
      </c>
      <c r="H110" s="20">
        <v>120340</v>
      </c>
      <c r="I110" s="15" t="s">
        <v>310</v>
      </c>
      <c r="J110" s="15">
        <v>2.1800000000000002</v>
      </c>
      <c r="K110" s="15">
        <v>26</v>
      </c>
      <c r="L110" s="19">
        <v>0.58099999999999996</v>
      </c>
    </row>
    <row r="111" spans="1:12" x14ac:dyDescent="0.2">
      <c r="A111" s="15">
        <v>110</v>
      </c>
      <c r="B111" s="16" t="s">
        <v>111</v>
      </c>
      <c r="C111" s="18">
        <v>6714560</v>
      </c>
      <c r="D111" s="19">
        <v>8.1999999999999998E-4</v>
      </c>
      <c r="E111" s="15" t="s">
        <v>311</v>
      </c>
      <c r="F111" s="15" t="s">
        <v>312</v>
      </c>
      <c r="G111" s="15">
        <v>62</v>
      </c>
      <c r="H111" s="20">
        <v>108560</v>
      </c>
      <c r="I111" s="15" t="s">
        <v>313</v>
      </c>
      <c r="J111" s="15">
        <v>1.74</v>
      </c>
      <c r="K111" s="15">
        <v>44.8</v>
      </c>
      <c r="L111" s="19">
        <v>0.77100000000000002</v>
      </c>
    </row>
    <row r="112" spans="1:12" x14ac:dyDescent="0.2">
      <c r="A112" s="15">
        <v>111</v>
      </c>
      <c r="B112" s="16" t="s">
        <v>112</v>
      </c>
      <c r="C112" s="18">
        <v>6689039</v>
      </c>
      <c r="D112" s="19">
        <v>8.0999999999999996E-4</v>
      </c>
      <c r="E112" s="15" t="s">
        <v>314</v>
      </c>
      <c r="F112" s="15" t="s">
        <v>315</v>
      </c>
      <c r="G112" s="15">
        <v>76</v>
      </c>
      <c r="H112" s="20">
        <v>87460</v>
      </c>
      <c r="I112" s="15" t="s">
        <v>316</v>
      </c>
      <c r="J112" s="15">
        <v>1.5</v>
      </c>
      <c r="K112" s="15">
        <v>44.4</v>
      </c>
      <c r="L112" s="19">
        <v>0.73599999999999999</v>
      </c>
    </row>
    <row r="113" spans="1:12" x14ac:dyDescent="0.2">
      <c r="A113" s="15">
        <v>112</v>
      </c>
      <c r="B113" s="16" t="s">
        <v>113</v>
      </c>
      <c r="C113" s="18">
        <v>6484437</v>
      </c>
      <c r="D113" s="19">
        <v>7.9000000000000001E-4</v>
      </c>
      <c r="E113" s="19">
        <v>2.3900000000000001E-2</v>
      </c>
      <c r="F113" s="20">
        <v>151476</v>
      </c>
      <c r="G113" s="15">
        <v>19</v>
      </c>
      <c r="H113" s="20">
        <v>341500</v>
      </c>
      <c r="I113" s="15" t="s">
        <v>317</v>
      </c>
      <c r="J113" s="15">
        <v>4.05</v>
      </c>
      <c r="K113" s="15">
        <v>18.600000000000001</v>
      </c>
      <c r="L113" s="19">
        <v>0.69799999999999995</v>
      </c>
    </row>
    <row r="114" spans="1:12" x14ac:dyDescent="0.2">
      <c r="A114" s="15">
        <v>113</v>
      </c>
      <c r="B114" s="16" t="s">
        <v>114</v>
      </c>
      <c r="C114" s="18">
        <v>6365503</v>
      </c>
      <c r="D114" s="19">
        <v>7.6999999999999996E-4</v>
      </c>
      <c r="E114" s="19">
        <v>4.3E-3</v>
      </c>
      <c r="F114" s="20">
        <v>27310</v>
      </c>
      <c r="G114" s="15">
        <v>307</v>
      </c>
      <c r="H114" s="20">
        <v>20720</v>
      </c>
      <c r="I114" s="15" t="s">
        <v>318</v>
      </c>
      <c r="J114" s="15">
        <v>1.75</v>
      </c>
      <c r="K114" s="15">
        <v>27.9</v>
      </c>
      <c r="L114" s="19">
        <v>0.79900000000000004</v>
      </c>
    </row>
    <row r="115" spans="1:12" x14ac:dyDescent="0.2">
      <c r="A115" s="15">
        <v>114</v>
      </c>
      <c r="B115" s="16" t="s">
        <v>115</v>
      </c>
      <c r="C115" s="18">
        <v>6002507</v>
      </c>
      <c r="D115" s="19">
        <v>7.2999999999999996E-4</v>
      </c>
      <c r="E115" s="19">
        <v>4.1999999999999997E-3</v>
      </c>
      <c r="F115" s="20">
        <v>25095</v>
      </c>
      <c r="G115" s="15">
        <v>141</v>
      </c>
      <c r="H115" s="20">
        <v>42430</v>
      </c>
      <c r="I115" s="20">
        <v>22103</v>
      </c>
      <c r="J115" s="15">
        <v>1.52</v>
      </c>
      <c r="K115" s="15">
        <v>41.3</v>
      </c>
      <c r="L115" s="19">
        <v>0.874</v>
      </c>
    </row>
    <row r="116" spans="1:12" x14ac:dyDescent="0.2">
      <c r="A116" s="15">
        <v>115</v>
      </c>
      <c r="B116" s="16" t="s">
        <v>116</v>
      </c>
      <c r="C116" s="18">
        <v>5870750</v>
      </c>
      <c r="D116" s="19">
        <v>7.1000000000000002E-4</v>
      </c>
      <c r="E116" s="19">
        <v>6.6E-3</v>
      </c>
      <c r="F116" s="20">
        <v>38363</v>
      </c>
      <c r="G116" s="20">
        <v>8387</v>
      </c>
      <c r="H116" s="15">
        <v>700</v>
      </c>
      <c r="I116" s="20">
        <v>16892</v>
      </c>
      <c r="J116" s="15">
        <v>0.96</v>
      </c>
      <c r="K116" s="15">
        <v>36.200000000000003</v>
      </c>
    </row>
    <row r="117" spans="1:12" x14ac:dyDescent="0.2">
      <c r="A117" s="15">
        <v>116</v>
      </c>
      <c r="B117" s="16" t="s">
        <v>117</v>
      </c>
      <c r="C117" s="18">
        <v>5849421</v>
      </c>
      <c r="D117" s="19">
        <v>7.1000000000000002E-4</v>
      </c>
      <c r="E117" s="19">
        <v>7.4999999999999997E-3</v>
      </c>
      <c r="F117" s="20">
        <v>43459</v>
      </c>
      <c r="G117" s="15">
        <v>572</v>
      </c>
      <c r="H117" s="20">
        <v>10230</v>
      </c>
      <c r="I117" s="15" t="s">
        <v>319</v>
      </c>
      <c r="J117" s="15">
        <v>2.21</v>
      </c>
      <c r="K117" s="15">
        <v>28.8</v>
      </c>
      <c r="L117" s="21">
        <v>0.86</v>
      </c>
    </row>
    <row r="118" spans="1:12" x14ac:dyDescent="0.2">
      <c r="A118" s="15">
        <v>117</v>
      </c>
      <c r="B118" s="16" t="s">
        <v>118</v>
      </c>
      <c r="C118" s="18">
        <v>5731206</v>
      </c>
      <c r="D118" s="19">
        <v>6.9999999999999999E-4</v>
      </c>
      <c r="E118" s="19">
        <v>2.1100000000000001E-2</v>
      </c>
      <c r="F118" s="20">
        <v>118389</v>
      </c>
      <c r="G118" s="15">
        <v>60</v>
      </c>
      <c r="H118" s="20">
        <v>96320</v>
      </c>
      <c r="I118" s="15" t="s">
        <v>320</v>
      </c>
      <c r="J118" s="15">
        <v>3.79</v>
      </c>
      <c r="K118" s="15">
        <v>18.8</v>
      </c>
      <c r="L118" s="21">
        <v>0.55000000000000004</v>
      </c>
    </row>
    <row r="119" spans="1:12" x14ac:dyDescent="0.2">
      <c r="A119" s="15">
        <v>118</v>
      </c>
      <c r="B119" s="16" t="s">
        <v>119</v>
      </c>
      <c r="C119" s="18">
        <v>5623329</v>
      </c>
      <c r="D119" s="19">
        <v>6.8000000000000005E-4</v>
      </c>
      <c r="E119" s="19">
        <v>1.1000000000000001E-3</v>
      </c>
      <c r="F119" s="20">
        <v>6019</v>
      </c>
      <c r="G119" s="15">
        <v>19</v>
      </c>
      <c r="H119" s="20">
        <v>303890</v>
      </c>
      <c r="I119" s="20">
        <v>18246</v>
      </c>
      <c r="J119" s="15">
        <v>1.3</v>
      </c>
      <c r="K119" s="15">
        <v>43.2</v>
      </c>
      <c r="L119" s="19">
        <v>0.86699999999999999</v>
      </c>
    </row>
    <row r="120" spans="1:12" x14ac:dyDescent="0.2">
      <c r="A120" s="15">
        <v>119</v>
      </c>
      <c r="B120" s="16" t="s">
        <v>120</v>
      </c>
      <c r="C120" s="18">
        <v>5623071</v>
      </c>
      <c r="D120" s="19">
        <v>6.8000000000000005E-4</v>
      </c>
      <c r="E120" s="19">
        <v>8.3000000000000001E-3</v>
      </c>
      <c r="F120" s="20">
        <v>46411</v>
      </c>
      <c r="G120" s="15">
        <v>15</v>
      </c>
      <c r="H120" s="20">
        <v>365268</v>
      </c>
      <c r="I120" s="20">
        <v>29798</v>
      </c>
      <c r="J120" s="15">
        <v>1.42</v>
      </c>
      <c r="K120" s="15">
        <v>39.799999999999997</v>
      </c>
      <c r="L120" s="19">
        <v>0.85899999999999999</v>
      </c>
    </row>
    <row r="121" spans="1:12" x14ac:dyDescent="0.2">
      <c r="A121" s="15">
        <v>120</v>
      </c>
      <c r="B121" s="16" t="s">
        <v>121</v>
      </c>
      <c r="C121" s="18">
        <v>5589623</v>
      </c>
      <c r="D121" s="19">
        <v>6.8000000000000005E-4</v>
      </c>
      <c r="E121" s="19">
        <v>1.7100000000000001E-2</v>
      </c>
      <c r="F121" s="20">
        <v>94180</v>
      </c>
      <c r="G121" s="15">
        <v>929</v>
      </c>
      <c r="H121" s="20">
        <v>6020</v>
      </c>
      <c r="I121" s="15" t="s">
        <v>321</v>
      </c>
      <c r="J121" s="15">
        <v>3.19</v>
      </c>
      <c r="K121" s="15">
        <v>20.100000000000001</v>
      </c>
      <c r="L121" s="19">
        <v>0.84199999999999997</v>
      </c>
    </row>
    <row r="122" spans="1:12" x14ac:dyDescent="0.2">
      <c r="A122" s="15">
        <v>121</v>
      </c>
      <c r="B122" s="16" t="s">
        <v>122</v>
      </c>
      <c r="C122" s="18">
        <v>5513282</v>
      </c>
      <c r="D122" s="19">
        <v>6.7000000000000002E-4</v>
      </c>
      <c r="E122" s="19">
        <v>3.4299999999999997E-2</v>
      </c>
      <c r="F122" s="20">
        <v>182592</v>
      </c>
      <c r="G122" s="15">
        <v>9</v>
      </c>
      <c r="H122" s="20">
        <v>622980</v>
      </c>
      <c r="I122" s="15" t="s">
        <v>322</v>
      </c>
      <c r="J122" s="15">
        <v>5.81</v>
      </c>
      <c r="K122" s="15">
        <v>14.5</v>
      </c>
      <c r="L122" s="19">
        <v>0.44500000000000001</v>
      </c>
    </row>
    <row r="123" spans="1:12" x14ac:dyDescent="0.2">
      <c r="A123" s="15">
        <v>122</v>
      </c>
      <c r="B123" s="16" t="s">
        <v>123</v>
      </c>
      <c r="C123" s="18">
        <v>5494691</v>
      </c>
      <c r="D123" s="19">
        <v>6.7000000000000002E-4</v>
      </c>
      <c r="E123" s="19">
        <v>4.0399999999999998E-2</v>
      </c>
      <c r="F123" s="20">
        <v>213153</v>
      </c>
      <c r="G123" s="15">
        <v>18</v>
      </c>
      <c r="H123" s="20">
        <v>309500</v>
      </c>
      <c r="I123" s="20">
        <v>113734</v>
      </c>
      <c r="J123" s="15">
        <v>2.48</v>
      </c>
      <c r="K123" s="15">
        <v>29.7</v>
      </c>
      <c r="L123" s="19">
        <v>0.90800000000000003</v>
      </c>
    </row>
    <row r="124" spans="1:12" x14ac:dyDescent="0.2">
      <c r="A124" s="15">
        <v>123</v>
      </c>
      <c r="B124" s="16" t="s">
        <v>124</v>
      </c>
      <c r="C124" s="18">
        <v>5474881</v>
      </c>
      <c r="D124" s="19">
        <v>6.7000000000000002E-4</v>
      </c>
      <c r="E124" s="15" t="s">
        <v>323</v>
      </c>
      <c r="F124" s="15" t="s">
        <v>324</v>
      </c>
      <c r="G124" s="15">
        <v>114</v>
      </c>
      <c r="H124" s="20">
        <v>48088</v>
      </c>
      <c r="I124" s="15" t="s">
        <v>325</v>
      </c>
      <c r="J124" s="15">
        <v>1.57</v>
      </c>
      <c r="K124" s="15">
        <v>42.3</v>
      </c>
      <c r="L124" s="21">
        <v>0.54</v>
      </c>
    </row>
    <row r="125" spans="1:12" x14ac:dyDescent="0.2">
      <c r="A125" s="15">
        <v>124</v>
      </c>
      <c r="B125" s="16" t="s">
        <v>125</v>
      </c>
      <c r="C125" s="18">
        <v>5315065</v>
      </c>
      <c r="D125" s="19">
        <v>6.4999999999999997E-4</v>
      </c>
      <c r="E125" s="19">
        <v>2.8199999999999999E-2</v>
      </c>
      <c r="F125" s="20">
        <v>145670</v>
      </c>
      <c r="G125" s="15">
        <v>5</v>
      </c>
      <c r="H125" s="20">
        <v>1030700</v>
      </c>
      <c r="I125" s="15" t="s">
        <v>326</v>
      </c>
      <c r="J125" s="15">
        <v>4.5599999999999996</v>
      </c>
      <c r="K125" s="15">
        <v>17.399999999999999</v>
      </c>
      <c r="L125" s="19">
        <v>0.60299999999999998</v>
      </c>
    </row>
    <row r="126" spans="1:12" x14ac:dyDescent="0.2">
      <c r="A126" s="15">
        <v>125</v>
      </c>
      <c r="B126" s="16" t="s">
        <v>126</v>
      </c>
      <c r="C126" s="18">
        <v>5308039</v>
      </c>
      <c r="D126" s="19">
        <v>6.4000000000000005E-4</v>
      </c>
      <c r="E126" s="19">
        <v>1.01E-2</v>
      </c>
      <c r="F126" s="20">
        <v>53022</v>
      </c>
      <c r="G126" s="15">
        <v>77</v>
      </c>
      <c r="H126" s="20">
        <v>68890</v>
      </c>
      <c r="I126" s="20">
        <v>35417</v>
      </c>
      <c r="J126" s="15">
        <v>1.6</v>
      </c>
      <c r="K126" s="15">
        <v>39</v>
      </c>
      <c r="L126" s="19">
        <v>0.621</v>
      </c>
    </row>
    <row r="127" spans="1:12" x14ac:dyDescent="0.2">
      <c r="A127" s="15">
        <v>126</v>
      </c>
      <c r="B127" s="16" t="s">
        <v>127</v>
      </c>
      <c r="C127" s="18">
        <v>5251899</v>
      </c>
      <c r="D127" s="19">
        <v>6.4000000000000005E-4</v>
      </c>
      <c r="E127" s="19">
        <v>7.3000000000000001E-3</v>
      </c>
      <c r="F127" s="20">
        <v>37955</v>
      </c>
      <c r="G127" s="15">
        <v>20</v>
      </c>
      <c r="H127" s="20">
        <v>263310</v>
      </c>
      <c r="I127" s="20">
        <v>17403</v>
      </c>
      <c r="J127" s="15">
        <v>1.65</v>
      </c>
      <c r="K127" s="15">
        <v>37.700000000000003</v>
      </c>
      <c r="L127" s="19">
        <v>0.83599999999999997</v>
      </c>
    </row>
    <row r="128" spans="1:12" x14ac:dyDescent="0.2">
      <c r="A128" s="15">
        <v>127</v>
      </c>
      <c r="B128" s="16" t="s">
        <v>128</v>
      </c>
      <c r="C128" s="18">
        <v>5152950</v>
      </c>
      <c r="D128" s="19">
        <v>6.3000000000000003E-4</v>
      </c>
      <c r="E128" s="19">
        <v>4.4999999999999997E-3</v>
      </c>
      <c r="F128" s="20">
        <v>23040</v>
      </c>
      <c r="G128" s="15">
        <v>101</v>
      </c>
      <c r="H128" s="20">
        <v>51060</v>
      </c>
      <c r="I128" s="20">
        <v>1000</v>
      </c>
      <c r="J128" s="15">
        <v>1.31</v>
      </c>
      <c r="K128" s="15">
        <v>35.200000000000003</v>
      </c>
      <c r="L128" s="19">
        <v>0.85199999999999998</v>
      </c>
    </row>
    <row r="129" spans="1:12" x14ac:dyDescent="0.2">
      <c r="A129" s="15">
        <v>128</v>
      </c>
      <c r="B129" s="16" t="s">
        <v>129</v>
      </c>
      <c r="C129" s="18">
        <v>5026078</v>
      </c>
      <c r="D129" s="19">
        <v>6.0999999999999997E-4</v>
      </c>
      <c r="E129" s="19">
        <v>1.8599999999999998E-2</v>
      </c>
      <c r="F129" s="20">
        <v>91571</v>
      </c>
      <c r="G129" s="15">
        <v>282</v>
      </c>
      <c r="H129" s="20">
        <v>17820</v>
      </c>
      <c r="I129" s="20">
        <v>42775</v>
      </c>
      <c r="J129" s="15">
        <v>1.5</v>
      </c>
      <c r="K129" s="15">
        <v>34.799999999999997</v>
      </c>
      <c r="L129" s="19">
        <v>0.91600000000000004</v>
      </c>
    </row>
    <row r="130" spans="1:12" x14ac:dyDescent="0.2">
      <c r="A130" s="15">
        <v>129</v>
      </c>
      <c r="B130" s="16" t="s">
        <v>130</v>
      </c>
      <c r="C130" s="18">
        <v>4571189</v>
      </c>
      <c r="D130" s="19">
        <v>5.5999999999999995E-4</v>
      </c>
      <c r="E130" s="19">
        <v>1.23E-2</v>
      </c>
      <c r="F130" s="20">
        <v>55612</v>
      </c>
      <c r="G130" s="15">
        <v>61</v>
      </c>
      <c r="H130" s="20">
        <v>74340</v>
      </c>
      <c r="I130" s="20">
        <v>6151</v>
      </c>
      <c r="J130" s="15">
        <v>2.09</v>
      </c>
      <c r="K130" s="15">
        <v>30.3</v>
      </c>
      <c r="L130" s="19">
        <v>0.70699999999999996</v>
      </c>
    </row>
    <row r="131" spans="1:12" x14ac:dyDescent="0.2">
      <c r="A131" s="15">
        <v>130</v>
      </c>
      <c r="B131" s="16" t="s">
        <v>131</v>
      </c>
      <c r="C131" s="18">
        <v>3848160</v>
      </c>
      <c r="D131" s="19">
        <v>4.6999999999999999E-4</v>
      </c>
      <c r="E131" s="15" t="s">
        <v>314</v>
      </c>
      <c r="F131" s="15" t="s">
        <v>327</v>
      </c>
      <c r="G131" s="15">
        <v>69</v>
      </c>
      <c r="H131" s="20">
        <v>55960</v>
      </c>
      <c r="I131" s="15" t="s">
        <v>328</v>
      </c>
      <c r="J131" s="15">
        <v>1.47</v>
      </c>
      <c r="K131" s="15">
        <v>45.3</v>
      </c>
      <c r="L131" s="19">
        <v>0.61699999999999999</v>
      </c>
    </row>
    <row r="132" spans="1:12" x14ac:dyDescent="0.2">
      <c r="A132" s="15">
        <v>131</v>
      </c>
      <c r="B132" s="16" t="s">
        <v>132</v>
      </c>
      <c r="C132" s="18">
        <v>3806671</v>
      </c>
      <c r="D132" s="19">
        <v>4.6000000000000001E-4</v>
      </c>
      <c r="E132" s="15" t="s">
        <v>329</v>
      </c>
      <c r="F132" s="15" t="s">
        <v>330</v>
      </c>
      <c r="G132" s="15">
        <v>55</v>
      </c>
      <c r="H132" s="20">
        <v>69490</v>
      </c>
      <c r="I132" s="20">
        <v>1283</v>
      </c>
      <c r="J132" s="15">
        <v>1.79</v>
      </c>
      <c r="K132" s="15">
        <v>37.299999999999997</v>
      </c>
      <c r="L132" s="21">
        <v>0.62</v>
      </c>
    </row>
    <row r="133" spans="1:12" x14ac:dyDescent="0.2">
      <c r="A133" s="15">
        <v>132</v>
      </c>
      <c r="B133" s="16" t="s">
        <v>133</v>
      </c>
      <c r="C133" s="18">
        <v>3607003</v>
      </c>
      <c r="D133" s="19">
        <v>4.4000000000000002E-4</v>
      </c>
      <c r="E133" s="19">
        <v>2.0199999999999999E-2</v>
      </c>
      <c r="F133" s="20">
        <v>71400</v>
      </c>
      <c r="G133" s="15">
        <v>36</v>
      </c>
      <c r="H133" s="20">
        <v>101000</v>
      </c>
      <c r="I133" s="15" t="s">
        <v>331</v>
      </c>
      <c r="J133" s="15">
        <v>3.61</v>
      </c>
      <c r="K133" s="15">
        <v>19.2</v>
      </c>
      <c r="L133" s="19">
        <v>0.748</v>
      </c>
    </row>
    <row r="134" spans="1:12" x14ac:dyDescent="0.2">
      <c r="A134" s="15">
        <v>133</v>
      </c>
      <c r="B134" s="16" t="s">
        <v>134</v>
      </c>
      <c r="C134" s="18">
        <v>3517100</v>
      </c>
      <c r="D134" s="19">
        <v>4.2999999999999999E-4</v>
      </c>
      <c r="E134" s="19">
        <v>1.2E-2</v>
      </c>
      <c r="F134" s="20">
        <v>41560</v>
      </c>
      <c r="G134" s="15">
        <v>2</v>
      </c>
      <c r="H134" s="20">
        <v>1553560</v>
      </c>
      <c r="I134" s="15">
        <v>79</v>
      </c>
      <c r="J134" s="15">
        <v>2.58</v>
      </c>
      <c r="K134" s="15">
        <v>26.9</v>
      </c>
      <c r="L134" s="19">
        <v>0.67200000000000004</v>
      </c>
    </row>
    <row r="135" spans="1:12" x14ac:dyDescent="0.2">
      <c r="A135" s="15">
        <v>134</v>
      </c>
      <c r="B135" s="16" t="s">
        <v>135</v>
      </c>
      <c r="C135" s="18">
        <v>3384688</v>
      </c>
      <c r="D135" s="19">
        <v>4.0999999999999999E-4</v>
      </c>
      <c r="E135" s="15" t="s">
        <v>332</v>
      </c>
      <c r="F135" s="15" t="s">
        <v>333</v>
      </c>
      <c r="G135" s="15">
        <v>19</v>
      </c>
      <c r="H135" s="20">
        <v>175020</v>
      </c>
      <c r="I135" s="15" t="s">
        <v>334</v>
      </c>
      <c r="J135" s="15">
        <v>1.39</v>
      </c>
      <c r="K135" s="15">
        <v>36.4</v>
      </c>
    </row>
    <row r="136" spans="1:12" x14ac:dyDescent="0.2">
      <c r="A136" s="15">
        <v>135</v>
      </c>
      <c r="B136" s="16" t="s">
        <v>335</v>
      </c>
      <c r="C136" s="18">
        <v>3235289</v>
      </c>
      <c r="D136" s="19">
        <v>3.8999999999999999E-4</v>
      </c>
      <c r="E136" s="15" t="s">
        <v>336</v>
      </c>
      <c r="F136" s="15" t="s">
        <v>337</v>
      </c>
      <c r="G136" s="15">
        <v>365</v>
      </c>
      <c r="H136" s="20">
        <v>8870</v>
      </c>
      <c r="I136" s="20">
        <v>5495</v>
      </c>
      <c r="J136" s="15">
        <v>0.94</v>
      </c>
      <c r="K136" s="15">
        <v>45.8</v>
      </c>
    </row>
    <row r="137" spans="1:12" x14ac:dyDescent="0.2">
      <c r="A137" s="15">
        <v>136</v>
      </c>
      <c r="B137" s="16" t="s">
        <v>136</v>
      </c>
      <c r="C137" s="18">
        <v>3140095</v>
      </c>
      <c r="D137" s="19">
        <v>3.8000000000000002E-4</v>
      </c>
      <c r="E137" s="15" t="s">
        <v>338</v>
      </c>
      <c r="F137" s="15" t="s">
        <v>339</v>
      </c>
      <c r="G137" s="15">
        <v>62</v>
      </c>
      <c r="H137" s="20">
        <v>51000</v>
      </c>
      <c r="I137" s="15" t="s">
        <v>340</v>
      </c>
      <c r="J137" s="15">
        <v>1.5</v>
      </c>
      <c r="K137" s="15">
        <v>45.7</v>
      </c>
      <c r="L137" s="19">
        <v>0.56299999999999994</v>
      </c>
    </row>
    <row r="138" spans="1:12" x14ac:dyDescent="0.2">
      <c r="A138" s="15">
        <v>137</v>
      </c>
      <c r="B138" s="16" t="s">
        <v>137</v>
      </c>
      <c r="C138" s="18">
        <v>3115889</v>
      </c>
      <c r="D138" s="19">
        <v>3.8000000000000002E-4</v>
      </c>
      <c r="E138" s="19">
        <v>2.2100000000000002E-2</v>
      </c>
      <c r="F138" s="20">
        <v>67466</v>
      </c>
      <c r="G138" s="15">
        <v>268</v>
      </c>
      <c r="H138" s="20">
        <v>11610</v>
      </c>
      <c r="I138" s="20">
        <v>36288</v>
      </c>
      <c r="J138" s="15">
        <v>1.7</v>
      </c>
      <c r="K138" s="15">
        <v>33.5</v>
      </c>
      <c r="L138" s="19">
        <v>0.96599999999999997</v>
      </c>
    </row>
    <row r="139" spans="1:12" x14ac:dyDescent="0.2">
      <c r="A139" s="15">
        <v>138</v>
      </c>
      <c r="B139" s="16" t="s">
        <v>138</v>
      </c>
      <c r="C139" s="18">
        <v>3092816</v>
      </c>
      <c r="D139" s="19">
        <v>3.8000000000000002E-4</v>
      </c>
      <c r="E139" s="19">
        <v>2.07E-2</v>
      </c>
      <c r="F139" s="20">
        <v>62685</v>
      </c>
      <c r="G139" s="15">
        <v>4</v>
      </c>
      <c r="H139" s="20">
        <v>823290</v>
      </c>
      <c r="I139" s="20">
        <v>1866</v>
      </c>
      <c r="J139" s="15">
        <v>3.17</v>
      </c>
      <c r="K139" s="15">
        <v>21.3</v>
      </c>
      <c r="L139" s="19">
        <v>0.54400000000000004</v>
      </c>
    </row>
    <row r="140" spans="1:12" x14ac:dyDescent="0.2">
      <c r="A140" s="15">
        <v>139</v>
      </c>
      <c r="B140" s="16" t="s">
        <v>139</v>
      </c>
      <c r="C140" s="18">
        <v>2996106</v>
      </c>
      <c r="D140" s="19">
        <v>3.6000000000000002E-4</v>
      </c>
      <c r="E140" s="15" t="s">
        <v>341</v>
      </c>
      <c r="F140" s="15" t="s">
        <v>342</v>
      </c>
      <c r="G140" s="15">
        <v>91</v>
      </c>
      <c r="H140" s="20">
        <v>32850</v>
      </c>
      <c r="I140" s="15" t="s">
        <v>343</v>
      </c>
      <c r="J140" s="15">
        <v>1.72</v>
      </c>
      <c r="K140" s="15">
        <v>38.6</v>
      </c>
      <c r="L140" s="19">
        <v>0.57699999999999996</v>
      </c>
    </row>
    <row r="141" spans="1:12" x14ac:dyDescent="0.2">
      <c r="A141" s="15">
        <v>140</v>
      </c>
      <c r="B141" s="16" t="s">
        <v>140</v>
      </c>
      <c r="C141" s="18">
        <v>2952365</v>
      </c>
      <c r="D141" s="19">
        <v>3.6000000000000002E-4</v>
      </c>
      <c r="E141" s="15" t="s">
        <v>344</v>
      </c>
      <c r="F141" s="15" t="s">
        <v>345</v>
      </c>
      <c r="G141" s="15">
        <v>104</v>
      </c>
      <c r="H141" s="20">
        <v>28470</v>
      </c>
      <c r="I141" s="15" t="s">
        <v>346</v>
      </c>
      <c r="J141" s="15">
        <v>1.71</v>
      </c>
      <c r="K141" s="15">
        <v>36.6</v>
      </c>
      <c r="L141" s="19">
        <v>0.63800000000000001</v>
      </c>
    </row>
    <row r="142" spans="1:12" x14ac:dyDescent="0.2">
      <c r="A142" s="15">
        <v>141</v>
      </c>
      <c r="B142" s="16" t="s">
        <v>141</v>
      </c>
      <c r="C142" s="18">
        <v>2837077</v>
      </c>
      <c r="D142" s="19">
        <v>3.4000000000000002E-4</v>
      </c>
      <c r="E142" s="15" t="s">
        <v>222</v>
      </c>
      <c r="F142" s="15" t="s">
        <v>347</v>
      </c>
      <c r="G142" s="15">
        <v>262</v>
      </c>
      <c r="H142" s="20">
        <v>10830</v>
      </c>
      <c r="I142" s="15" t="s">
        <v>348</v>
      </c>
      <c r="J142" s="15">
        <v>1.34</v>
      </c>
      <c r="K142" s="15">
        <v>32.799999999999997</v>
      </c>
      <c r="L142" s="19">
        <v>0.60199999999999998</v>
      </c>
    </row>
    <row r="143" spans="1:12" x14ac:dyDescent="0.2">
      <c r="A143" s="15">
        <v>142</v>
      </c>
      <c r="B143" s="16" t="s">
        <v>142</v>
      </c>
      <c r="C143" s="18">
        <v>2830144</v>
      </c>
      <c r="D143" s="19">
        <v>3.4000000000000002E-4</v>
      </c>
      <c r="E143" s="15" t="s">
        <v>349</v>
      </c>
      <c r="F143" s="15" t="s">
        <v>350</v>
      </c>
      <c r="G143" s="15">
        <v>45</v>
      </c>
      <c r="H143" s="20">
        <v>62674</v>
      </c>
      <c r="I143" s="15" t="s">
        <v>351</v>
      </c>
      <c r="J143" s="15">
        <v>1.22</v>
      </c>
      <c r="K143" s="15">
        <v>42.3</v>
      </c>
      <c r="L143" s="19">
        <v>0.68200000000000005</v>
      </c>
    </row>
    <row r="144" spans="1:12" x14ac:dyDescent="0.2">
      <c r="A144" s="15">
        <v>143</v>
      </c>
      <c r="B144" s="16" t="s">
        <v>143</v>
      </c>
      <c r="C144" s="18">
        <v>2822093</v>
      </c>
      <c r="D144" s="19">
        <v>3.4000000000000002E-4</v>
      </c>
      <c r="E144" s="19">
        <v>2.2499999999999999E-2</v>
      </c>
      <c r="F144" s="20">
        <v>62105</v>
      </c>
      <c r="G144" s="15">
        <v>279</v>
      </c>
      <c r="H144" s="20">
        <v>10120</v>
      </c>
      <c r="I144" s="15" t="s">
        <v>352</v>
      </c>
      <c r="J144" s="15">
        <v>3.8</v>
      </c>
      <c r="K144" s="15">
        <v>18.600000000000001</v>
      </c>
      <c r="L144" s="19">
        <v>0.61299999999999999</v>
      </c>
    </row>
    <row r="145" spans="1:12" x14ac:dyDescent="0.2">
      <c r="A145" s="15">
        <v>144</v>
      </c>
      <c r="B145" s="16" t="s">
        <v>144</v>
      </c>
      <c r="C145" s="18">
        <v>2771508</v>
      </c>
      <c r="D145" s="19">
        <v>3.4000000000000002E-4</v>
      </c>
      <c r="E145" s="15" t="s">
        <v>353</v>
      </c>
      <c r="F145" s="15" t="s">
        <v>354</v>
      </c>
      <c r="G145" s="15">
        <v>101</v>
      </c>
      <c r="H145" s="20">
        <v>27400</v>
      </c>
      <c r="I145" s="15" t="s">
        <v>355</v>
      </c>
      <c r="J145" s="15">
        <v>1.33</v>
      </c>
      <c r="K145" s="15">
        <v>37.299999999999997</v>
      </c>
      <c r="L145" s="19">
        <v>0.70299999999999996</v>
      </c>
    </row>
    <row r="146" spans="1:12" x14ac:dyDescent="0.2">
      <c r="A146" s="15">
        <v>145</v>
      </c>
      <c r="B146" s="16" t="s">
        <v>145</v>
      </c>
      <c r="C146" s="18">
        <v>2593130</v>
      </c>
      <c r="D146" s="19">
        <v>3.2000000000000003E-4</v>
      </c>
      <c r="E146" s="19">
        <v>2.1299999999999999E-2</v>
      </c>
      <c r="F146" s="20">
        <v>54178</v>
      </c>
      <c r="G146" s="15">
        <v>10</v>
      </c>
      <c r="H146" s="20">
        <v>257670</v>
      </c>
      <c r="I146" s="20">
        <v>1116</v>
      </c>
      <c r="J146" s="15">
        <v>3.54</v>
      </c>
      <c r="K146" s="15">
        <v>21.5</v>
      </c>
      <c r="L146" s="19">
        <v>0.83699999999999997</v>
      </c>
    </row>
    <row r="147" spans="1:12" x14ac:dyDescent="0.2">
      <c r="A147" s="15">
        <v>146</v>
      </c>
      <c r="B147" s="16" t="s">
        <v>146</v>
      </c>
      <c r="C147" s="18">
        <v>2562122</v>
      </c>
      <c r="D147" s="19">
        <v>3.1E-4</v>
      </c>
      <c r="E147" s="19">
        <v>1.6299999999999999E-2</v>
      </c>
      <c r="F147" s="20">
        <v>40983</v>
      </c>
      <c r="G147" s="15">
        <v>5</v>
      </c>
      <c r="H147" s="20">
        <v>566730</v>
      </c>
      <c r="I147" s="15" t="s">
        <v>356</v>
      </c>
      <c r="J147" s="15">
        <v>2.66</v>
      </c>
      <c r="K147" s="15">
        <v>23.4</v>
      </c>
      <c r="L147" s="19">
        <v>0.75600000000000001</v>
      </c>
    </row>
    <row r="148" spans="1:12" x14ac:dyDescent="0.2">
      <c r="A148" s="15">
        <v>147</v>
      </c>
      <c r="B148" s="16" t="s">
        <v>147</v>
      </c>
      <c r="C148" s="18">
        <v>2363325</v>
      </c>
      <c r="D148" s="19">
        <v>2.9E-4</v>
      </c>
      <c r="E148" s="19">
        <v>1.11E-2</v>
      </c>
      <c r="F148" s="20">
        <v>25902</v>
      </c>
      <c r="G148" s="15">
        <v>78</v>
      </c>
      <c r="H148" s="20">
        <v>30360</v>
      </c>
      <c r="I148" s="15" t="s">
        <v>357</v>
      </c>
      <c r="J148" s="15">
        <v>2.64</v>
      </c>
      <c r="K148" s="15">
        <v>21.8</v>
      </c>
      <c r="L148" s="19">
        <v>0.32800000000000001</v>
      </c>
    </row>
    <row r="149" spans="1:12" x14ac:dyDescent="0.2">
      <c r="A149" s="15">
        <v>148</v>
      </c>
      <c r="B149" s="16" t="s">
        <v>148</v>
      </c>
      <c r="C149" s="18">
        <v>2249515</v>
      </c>
      <c r="D149" s="19">
        <v>2.7E-4</v>
      </c>
      <c r="E149" s="19">
        <v>2.1899999999999999E-2</v>
      </c>
      <c r="F149" s="20">
        <v>48163</v>
      </c>
      <c r="G149" s="15">
        <v>80</v>
      </c>
      <c r="H149" s="20">
        <v>28120</v>
      </c>
      <c r="I149" s="15" t="s">
        <v>358</v>
      </c>
      <c r="J149" s="15">
        <v>3.68</v>
      </c>
      <c r="K149" s="15">
        <v>19.399999999999999</v>
      </c>
      <c r="L149" s="19">
        <v>0.46200000000000002</v>
      </c>
    </row>
    <row r="150" spans="1:12" x14ac:dyDescent="0.2">
      <c r="A150" s="15">
        <v>149</v>
      </c>
      <c r="B150" s="16" t="s">
        <v>149</v>
      </c>
      <c r="C150" s="18">
        <v>2117072</v>
      </c>
      <c r="D150" s="19">
        <v>2.5999999999999998E-4</v>
      </c>
      <c r="E150" s="15" t="s">
        <v>298</v>
      </c>
      <c r="F150" s="15" t="s">
        <v>359</v>
      </c>
      <c r="G150" s="15">
        <v>105</v>
      </c>
      <c r="H150" s="20">
        <v>20140</v>
      </c>
      <c r="I150" s="20">
        <v>2711</v>
      </c>
      <c r="J150" s="15">
        <v>1.58</v>
      </c>
      <c r="K150" s="15">
        <v>44.6</v>
      </c>
      <c r="L150" s="19">
        <v>0.55700000000000005</v>
      </c>
    </row>
    <row r="151" spans="1:12" x14ac:dyDescent="0.2">
      <c r="A151" s="15">
        <v>150</v>
      </c>
      <c r="B151" s="16" t="s">
        <v>150</v>
      </c>
      <c r="C151" s="18">
        <v>1938431</v>
      </c>
      <c r="D151" s="19">
        <v>2.4000000000000001E-4</v>
      </c>
      <c r="E151" s="19">
        <v>2.4299999999999999E-2</v>
      </c>
      <c r="F151" s="20">
        <v>45915</v>
      </c>
      <c r="G151" s="15">
        <v>69</v>
      </c>
      <c r="H151" s="20">
        <v>28050</v>
      </c>
      <c r="I151" s="20">
        <v>3812</v>
      </c>
      <c r="J151" s="15">
        <v>4.04</v>
      </c>
      <c r="K151" s="15">
        <v>20.9</v>
      </c>
      <c r="L151" s="19">
        <v>0.63600000000000001</v>
      </c>
    </row>
    <row r="152" spans="1:12" x14ac:dyDescent="0.2">
      <c r="A152" s="15">
        <v>151</v>
      </c>
      <c r="B152" s="16" t="s">
        <v>151</v>
      </c>
      <c r="C152" s="18">
        <v>1853559</v>
      </c>
      <c r="D152" s="19">
        <v>2.3000000000000001E-4</v>
      </c>
      <c r="E152" s="15" t="s">
        <v>360</v>
      </c>
      <c r="F152" s="15" t="s">
        <v>361</v>
      </c>
      <c r="G152" s="15">
        <v>30</v>
      </c>
      <c r="H152" s="20">
        <v>62200</v>
      </c>
      <c r="I152" s="15" t="s">
        <v>362</v>
      </c>
      <c r="J152" s="15">
        <v>1.35</v>
      </c>
      <c r="K152" s="15">
        <v>43.6</v>
      </c>
      <c r="L152" s="19">
        <v>0.67500000000000004</v>
      </c>
    </row>
    <row r="153" spans="1:12" x14ac:dyDescent="0.2">
      <c r="A153" s="15">
        <v>152</v>
      </c>
      <c r="B153" s="16" t="s">
        <v>152</v>
      </c>
      <c r="C153" s="18">
        <v>1813791</v>
      </c>
      <c r="D153" s="19">
        <v>2.2000000000000001E-4</v>
      </c>
      <c r="E153" s="15" t="s">
        <v>363</v>
      </c>
      <c r="F153" s="15" t="s">
        <v>364</v>
      </c>
      <c r="G153" s="15">
        <v>72</v>
      </c>
      <c r="H153" s="20">
        <v>25220</v>
      </c>
      <c r="I153" s="15" t="s">
        <v>365</v>
      </c>
      <c r="J153" s="15">
        <v>1.47</v>
      </c>
      <c r="K153" s="15">
        <v>41</v>
      </c>
      <c r="L153" s="19">
        <v>0.69399999999999995</v>
      </c>
    </row>
    <row r="154" spans="1:12" x14ac:dyDescent="0.2">
      <c r="A154" s="15">
        <v>153</v>
      </c>
      <c r="B154" s="16" t="s">
        <v>153</v>
      </c>
      <c r="C154" s="18">
        <v>1643332</v>
      </c>
      <c r="D154" s="19">
        <v>2.0000000000000001E-4</v>
      </c>
      <c r="E154" s="19">
        <v>2.2599999999999999E-2</v>
      </c>
      <c r="F154" s="20">
        <v>36283</v>
      </c>
      <c r="G154" s="20">
        <v>2162</v>
      </c>
      <c r="H154" s="15">
        <v>760</v>
      </c>
      <c r="I154" s="20">
        <v>18128</v>
      </c>
      <c r="J154" s="15">
        <v>1.78</v>
      </c>
      <c r="K154" s="15">
        <v>33.4</v>
      </c>
    </row>
    <row r="155" spans="1:12" x14ac:dyDescent="0.2">
      <c r="A155" s="15">
        <v>154</v>
      </c>
      <c r="B155" s="16" t="s">
        <v>154</v>
      </c>
      <c r="C155" s="18">
        <v>1511155</v>
      </c>
      <c r="D155" s="19">
        <v>1.8000000000000001E-4</v>
      </c>
      <c r="E155" s="19">
        <v>2.2000000000000001E-3</v>
      </c>
      <c r="F155" s="20">
        <v>3373</v>
      </c>
      <c r="G155" s="15">
        <v>295</v>
      </c>
      <c r="H155" s="20">
        <v>5130</v>
      </c>
      <c r="I155" s="15">
        <v>691</v>
      </c>
      <c r="J155" s="15">
        <v>1.52</v>
      </c>
      <c r="K155" s="15">
        <v>37.700000000000003</v>
      </c>
      <c r="L155" s="19">
        <v>0.49099999999999999</v>
      </c>
    </row>
    <row r="156" spans="1:12" x14ac:dyDescent="0.2">
      <c r="A156" s="15">
        <v>155</v>
      </c>
      <c r="B156" s="16" t="s">
        <v>155</v>
      </c>
      <c r="C156" s="18">
        <v>1418517</v>
      </c>
      <c r="D156" s="19">
        <v>1.7000000000000001E-4</v>
      </c>
      <c r="E156" s="19">
        <v>1.2800000000000001E-2</v>
      </c>
      <c r="F156" s="20">
        <v>17879</v>
      </c>
      <c r="G156" s="15">
        <v>95</v>
      </c>
      <c r="H156" s="20">
        <v>14870</v>
      </c>
      <c r="I156" s="15" t="s">
        <v>366</v>
      </c>
      <c r="J156" s="15">
        <v>2.56</v>
      </c>
      <c r="K156" s="15">
        <v>21.7</v>
      </c>
      <c r="L156" s="21">
        <v>0.36</v>
      </c>
    </row>
    <row r="157" spans="1:12" x14ac:dyDescent="0.2">
      <c r="A157" s="15">
        <v>156</v>
      </c>
      <c r="B157" s="16" t="s">
        <v>156</v>
      </c>
      <c r="C157" s="18">
        <v>1370754</v>
      </c>
      <c r="D157" s="19">
        <v>1.7000000000000001E-4</v>
      </c>
      <c r="E157" s="19">
        <v>9.1999999999999998E-3</v>
      </c>
      <c r="F157" s="20">
        <v>12472</v>
      </c>
      <c r="G157" s="15">
        <v>148</v>
      </c>
      <c r="H157" s="20">
        <v>9240</v>
      </c>
      <c r="I157" s="20">
        <v>7749</v>
      </c>
      <c r="J157" s="15">
        <v>1.37</v>
      </c>
      <c r="K157" s="15">
        <v>38.6</v>
      </c>
      <c r="L157" s="19">
        <v>0.61099999999999999</v>
      </c>
    </row>
    <row r="158" spans="1:12" x14ac:dyDescent="0.2">
      <c r="A158" s="15">
        <v>157</v>
      </c>
      <c r="B158" s="16" t="s">
        <v>157</v>
      </c>
      <c r="C158" s="18">
        <v>1344232</v>
      </c>
      <c r="D158" s="19">
        <v>1.6000000000000001E-4</v>
      </c>
      <c r="E158" s="15" t="s">
        <v>367</v>
      </c>
      <c r="F158" s="15" t="s">
        <v>368</v>
      </c>
      <c r="G158" s="15">
        <v>32</v>
      </c>
      <c r="H158" s="20">
        <v>42390</v>
      </c>
      <c r="I158" s="15" t="s">
        <v>369</v>
      </c>
      <c r="J158" s="15">
        <v>1.38</v>
      </c>
      <c r="K158" s="15">
        <v>42.8</v>
      </c>
      <c r="L158" s="19">
        <v>0.66900000000000004</v>
      </c>
    </row>
    <row r="159" spans="1:12" x14ac:dyDescent="0.2">
      <c r="A159" s="15">
        <v>158</v>
      </c>
      <c r="B159" s="16" t="s">
        <v>158</v>
      </c>
      <c r="C159" s="18">
        <v>1268280</v>
      </c>
      <c r="D159" s="19">
        <v>1.4999999999999999E-4</v>
      </c>
      <c r="E159" s="15" t="s">
        <v>200</v>
      </c>
      <c r="F159" s="15" t="s">
        <v>370</v>
      </c>
      <c r="G159" s="15">
        <v>625</v>
      </c>
      <c r="H159" s="20">
        <v>2030</v>
      </c>
      <c r="I159" s="15" t="s">
        <v>371</v>
      </c>
      <c r="J159" s="15">
        <v>1.21</v>
      </c>
      <c r="K159" s="15">
        <v>37.799999999999997</v>
      </c>
      <c r="L159" s="19">
        <v>0.41499999999999998</v>
      </c>
    </row>
    <row r="160" spans="1:12" x14ac:dyDescent="0.2">
      <c r="A160" s="15">
        <v>159</v>
      </c>
      <c r="B160" s="16" t="s">
        <v>159</v>
      </c>
      <c r="C160" s="18">
        <v>1256174</v>
      </c>
      <c r="D160" s="19">
        <v>1.4999999999999999E-4</v>
      </c>
      <c r="E160" s="19">
        <v>1.0699999999999999E-2</v>
      </c>
      <c r="F160" s="20">
        <v>13352</v>
      </c>
      <c r="G160" s="15">
        <v>73</v>
      </c>
      <c r="H160" s="20">
        <v>17200</v>
      </c>
      <c r="I160" s="15" t="s">
        <v>372</v>
      </c>
      <c r="J160" s="15">
        <v>2.68</v>
      </c>
      <c r="K160" s="15">
        <v>22.5</v>
      </c>
      <c r="L160" s="19">
        <v>0.313</v>
      </c>
    </row>
    <row r="161" spans="1:12" x14ac:dyDescent="0.2">
      <c r="A161" s="15">
        <v>160</v>
      </c>
      <c r="B161" s="16" t="s">
        <v>160</v>
      </c>
      <c r="C161" s="18">
        <v>1184076</v>
      </c>
      <c r="D161" s="19">
        <v>1.3999999999999999E-4</v>
      </c>
      <c r="E161" s="19">
        <v>1.3100000000000001E-2</v>
      </c>
      <c r="F161" s="20">
        <v>15354</v>
      </c>
      <c r="G161" s="15">
        <v>51</v>
      </c>
      <c r="H161" s="20">
        <v>23180</v>
      </c>
      <c r="I161" s="15" t="s">
        <v>373</v>
      </c>
      <c r="J161" s="15">
        <v>2.58</v>
      </c>
      <c r="K161" s="15">
        <v>24.9</v>
      </c>
      <c r="L161" s="19">
        <v>0.71299999999999997</v>
      </c>
    </row>
    <row r="162" spans="1:12" x14ac:dyDescent="0.2">
      <c r="A162" s="15">
        <v>161</v>
      </c>
      <c r="B162" s="16" t="s">
        <v>161</v>
      </c>
      <c r="C162" s="18">
        <v>933154</v>
      </c>
      <c r="D162" s="19">
        <v>1.1E-4</v>
      </c>
      <c r="E162" s="19">
        <v>4.7000000000000002E-3</v>
      </c>
      <c r="F162" s="20">
        <v>4370</v>
      </c>
      <c r="G162" s="15">
        <v>51</v>
      </c>
      <c r="H162" s="20">
        <v>18270</v>
      </c>
      <c r="I162" s="15" t="s">
        <v>374</v>
      </c>
      <c r="J162" s="15">
        <v>2.25</v>
      </c>
      <c r="K162" s="15">
        <v>28.1</v>
      </c>
      <c r="L162" s="19">
        <v>0.60799999999999998</v>
      </c>
    </row>
    <row r="163" spans="1:12" x14ac:dyDescent="0.2">
      <c r="A163" s="15">
        <v>162</v>
      </c>
      <c r="B163" s="16" t="s">
        <v>162</v>
      </c>
      <c r="C163" s="18">
        <v>882847</v>
      </c>
      <c r="D163" s="19">
        <v>1.1E-4</v>
      </c>
      <c r="E163" s="19">
        <v>1.8700000000000001E-2</v>
      </c>
      <c r="F163" s="20">
        <v>16219</v>
      </c>
      <c r="G163" s="15">
        <v>474</v>
      </c>
      <c r="H163" s="20">
        <v>1861</v>
      </c>
      <c r="I163" s="15" t="s">
        <v>375</v>
      </c>
      <c r="J163" s="15">
        <v>3.76</v>
      </c>
      <c r="K163" s="15">
        <v>20.6</v>
      </c>
      <c r="L163" s="19">
        <v>0.33600000000000002</v>
      </c>
    </row>
    <row r="164" spans="1:12" x14ac:dyDescent="0.2">
      <c r="A164" s="15">
        <v>163</v>
      </c>
      <c r="B164" s="16" t="s">
        <v>376</v>
      </c>
      <c r="C164" s="18">
        <v>882405</v>
      </c>
      <c r="D164" s="19">
        <v>1.1E-4</v>
      </c>
      <c r="E164" s="19">
        <v>4.3E-3</v>
      </c>
      <c r="F164" s="20">
        <v>3814</v>
      </c>
      <c r="G164" s="15">
        <v>353</v>
      </c>
      <c r="H164" s="20">
        <v>2500</v>
      </c>
      <c r="I164" s="15" t="s">
        <v>377</v>
      </c>
      <c r="J164" s="15">
        <v>2.13</v>
      </c>
      <c r="K164" s="15">
        <v>38.1</v>
      </c>
    </row>
    <row r="165" spans="1:12" x14ac:dyDescent="0.2">
      <c r="A165" s="15">
        <v>164</v>
      </c>
      <c r="B165" s="16" t="s">
        <v>163</v>
      </c>
      <c r="C165" s="18">
        <v>838645</v>
      </c>
      <c r="D165" s="19">
        <v>1E-4</v>
      </c>
      <c r="E165" s="19">
        <v>2.3699999999999999E-2</v>
      </c>
      <c r="F165" s="20">
        <v>19447</v>
      </c>
      <c r="G165" s="15">
        <v>30</v>
      </c>
      <c r="H165" s="20">
        <v>27990</v>
      </c>
      <c r="I165" s="20">
        <v>1631</v>
      </c>
      <c r="J165" s="15">
        <v>3.46</v>
      </c>
      <c r="K165" s="15">
        <v>20.7</v>
      </c>
      <c r="L165" s="19">
        <v>0.22800000000000001</v>
      </c>
    </row>
    <row r="166" spans="1:12" x14ac:dyDescent="0.2">
      <c r="A166" s="15">
        <v>165</v>
      </c>
      <c r="B166" s="16" t="s">
        <v>164</v>
      </c>
      <c r="C166" s="18">
        <v>835986</v>
      </c>
      <c r="D166" s="19">
        <v>1E-4</v>
      </c>
      <c r="E166" s="19">
        <v>5.8999999999999999E-3</v>
      </c>
      <c r="F166" s="20">
        <v>4899</v>
      </c>
      <c r="G166" s="15">
        <v>4</v>
      </c>
      <c r="H166" s="20">
        <v>196850</v>
      </c>
      <c r="I166" s="15" t="s">
        <v>378</v>
      </c>
      <c r="J166" s="15">
        <v>2.37</v>
      </c>
      <c r="K166" s="15">
        <v>26.2</v>
      </c>
      <c r="L166" s="19">
        <v>0.26600000000000001</v>
      </c>
    </row>
    <row r="167" spans="1:12" x14ac:dyDescent="0.2">
      <c r="A167" s="15">
        <v>166</v>
      </c>
      <c r="B167" s="16" t="s">
        <v>165</v>
      </c>
      <c r="C167" s="18">
        <v>796682</v>
      </c>
      <c r="D167" s="19">
        <v>9.7E-5</v>
      </c>
      <c r="E167" s="19">
        <v>6.4999999999999997E-3</v>
      </c>
      <c r="F167" s="20">
        <v>5158</v>
      </c>
      <c r="G167" s="15">
        <v>21</v>
      </c>
      <c r="H167" s="20">
        <v>38117</v>
      </c>
      <c r="I167" s="15">
        <v>455</v>
      </c>
      <c r="J167" s="15">
        <v>1.44</v>
      </c>
      <c r="K167" s="15">
        <v>30.5</v>
      </c>
      <c r="L167" s="19">
        <v>0.503</v>
      </c>
    </row>
    <row r="168" spans="1:12" x14ac:dyDescent="0.2">
      <c r="A168" s="15">
        <v>167</v>
      </c>
      <c r="B168" s="16" t="s">
        <v>379</v>
      </c>
      <c r="C168" s="18">
        <v>722007</v>
      </c>
      <c r="D168" s="19">
        <v>8.7999999999999998E-5</v>
      </c>
      <c r="E168" s="19">
        <v>2.3999999999999998E-3</v>
      </c>
      <c r="F168" s="20">
        <v>1745</v>
      </c>
      <c r="G168" s="20">
        <v>24067</v>
      </c>
      <c r="H168" s="15">
        <v>30</v>
      </c>
      <c r="I168" s="15" t="s">
        <v>380</v>
      </c>
      <c r="J168" s="15">
        <v>0.69</v>
      </c>
      <c r="K168" s="15">
        <v>39.6</v>
      </c>
      <c r="L168" s="19">
        <v>0.97099999999999997</v>
      </c>
    </row>
    <row r="169" spans="1:12" x14ac:dyDescent="0.2">
      <c r="A169" s="15">
        <v>168</v>
      </c>
      <c r="B169" s="16" t="s">
        <v>166</v>
      </c>
      <c r="C169" s="18">
        <v>680453</v>
      </c>
      <c r="D169" s="19">
        <v>8.2999999999999998E-5</v>
      </c>
      <c r="E169" s="19">
        <v>1.0999999999999999E-2</v>
      </c>
      <c r="F169" s="20">
        <v>7417</v>
      </c>
      <c r="G169" s="15">
        <v>263</v>
      </c>
      <c r="H169" s="20">
        <v>2590</v>
      </c>
      <c r="I169" s="20">
        <v>5237</v>
      </c>
      <c r="J169" s="15">
        <v>1.4</v>
      </c>
      <c r="K169" s="15">
        <v>39.5</v>
      </c>
      <c r="L169" s="19">
        <v>0.872</v>
      </c>
    </row>
    <row r="170" spans="1:12" x14ac:dyDescent="0.2">
      <c r="A170" s="15">
        <v>169</v>
      </c>
      <c r="B170" s="16" t="s">
        <v>167</v>
      </c>
      <c r="C170" s="18">
        <v>639850</v>
      </c>
      <c r="D170" s="19">
        <v>7.7999999999999999E-5</v>
      </c>
      <c r="E170" s="19">
        <v>8.5000000000000006E-3</v>
      </c>
      <c r="F170" s="20">
        <v>5419</v>
      </c>
      <c r="G170" s="15">
        <v>4</v>
      </c>
      <c r="H170" s="20">
        <v>156000</v>
      </c>
      <c r="I170" s="15" t="s">
        <v>381</v>
      </c>
      <c r="J170" s="15">
        <v>2.21</v>
      </c>
      <c r="K170" s="15">
        <v>28.6</v>
      </c>
      <c r="L170" s="19">
        <v>0.624</v>
      </c>
    </row>
    <row r="171" spans="1:12" x14ac:dyDescent="0.2">
      <c r="A171" s="15">
        <v>170</v>
      </c>
      <c r="B171" s="16" t="s">
        <v>168</v>
      </c>
      <c r="C171" s="18">
        <v>632729</v>
      </c>
      <c r="D171" s="19">
        <v>7.7000000000000001E-5</v>
      </c>
      <c r="E171" s="15" t="s">
        <v>382</v>
      </c>
      <c r="F171" s="15" t="s">
        <v>383</v>
      </c>
      <c r="G171" s="15">
        <v>47</v>
      </c>
      <c r="H171" s="20">
        <v>13450</v>
      </c>
      <c r="I171" s="15" t="s">
        <v>384</v>
      </c>
      <c r="J171" s="15">
        <v>1.79</v>
      </c>
      <c r="K171" s="15">
        <v>40</v>
      </c>
      <c r="L171" s="19">
        <v>0.68700000000000006</v>
      </c>
    </row>
    <row r="172" spans="1:12" x14ac:dyDescent="0.2">
      <c r="A172" s="15">
        <v>171</v>
      </c>
      <c r="B172" s="16" t="s">
        <v>385</v>
      </c>
      <c r="C172" s="18">
        <v>600904</v>
      </c>
      <c r="D172" s="19">
        <v>7.2999999999999999E-5</v>
      </c>
      <c r="E172" s="19">
        <v>1.7600000000000001E-2</v>
      </c>
      <c r="F172" s="20">
        <v>10398</v>
      </c>
      <c r="G172" s="15">
        <v>2</v>
      </c>
      <c r="H172" s="20">
        <v>266000</v>
      </c>
      <c r="I172" s="20">
        <v>5030</v>
      </c>
      <c r="J172" s="15">
        <v>2.15</v>
      </c>
      <c r="K172" s="15">
        <v>32.6</v>
      </c>
      <c r="L172" s="21">
        <v>0.97</v>
      </c>
    </row>
    <row r="173" spans="1:12" x14ac:dyDescent="0.2">
      <c r="A173" s="15">
        <v>172</v>
      </c>
      <c r="B173" s="16" t="s">
        <v>169</v>
      </c>
      <c r="C173" s="18">
        <v>545405</v>
      </c>
      <c r="D173" s="19">
        <v>6.6000000000000005E-5</v>
      </c>
      <c r="E173" s="19">
        <v>1.0699999999999999E-2</v>
      </c>
      <c r="F173" s="20">
        <v>5798</v>
      </c>
      <c r="G173" s="20">
        <v>1704</v>
      </c>
      <c r="H173" s="15">
        <v>320</v>
      </c>
      <c r="I173" s="20">
        <v>5161</v>
      </c>
      <c r="J173" s="15">
        <v>1.1100000000000001</v>
      </c>
      <c r="K173" s="15">
        <v>41.1</v>
      </c>
      <c r="L173" s="19">
        <v>0.76500000000000001</v>
      </c>
    </row>
    <row r="174" spans="1:12" x14ac:dyDescent="0.2">
      <c r="A174" s="15">
        <v>173</v>
      </c>
      <c r="B174" s="16" t="s">
        <v>170</v>
      </c>
      <c r="C174" s="18">
        <v>529676</v>
      </c>
      <c r="D174" s="19">
        <v>6.3999999999999997E-5</v>
      </c>
      <c r="E174" s="19">
        <v>3.5999999999999999E-3</v>
      </c>
      <c r="F174" s="20">
        <v>1877</v>
      </c>
      <c r="G174" s="20">
        <v>1766</v>
      </c>
      <c r="H174" s="15">
        <v>300</v>
      </c>
      <c r="I174" s="15" t="s">
        <v>386</v>
      </c>
      <c r="J174" s="15">
        <v>1.55</v>
      </c>
      <c r="K174" s="15">
        <v>32.700000000000003</v>
      </c>
      <c r="L174" s="19">
        <v>0.39600000000000002</v>
      </c>
    </row>
    <row r="175" spans="1:12" x14ac:dyDescent="0.2">
      <c r="A175" s="15">
        <v>174</v>
      </c>
      <c r="B175" s="16" t="s">
        <v>171</v>
      </c>
      <c r="C175" s="18">
        <v>527326</v>
      </c>
      <c r="D175" s="19">
        <v>6.3999999999999997E-5</v>
      </c>
      <c r="E175" s="19">
        <v>4.7000000000000002E-3</v>
      </c>
      <c r="F175" s="20">
        <v>2449</v>
      </c>
      <c r="G175" s="15">
        <v>131</v>
      </c>
      <c r="H175" s="20">
        <v>4030</v>
      </c>
      <c r="I175" s="15" t="s">
        <v>387</v>
      </c>
      <c r="J175" s="15">
        <v>1.5</v>
      </c>
      <c r="K175" s="15">
        <v>29</v>
      </c>
      <c r="L175" s="19">
        <v>0.78600000000000003</v>
      </c>
    </row>
    <row r="176" spans="1:12" x14ac:dyDescent="0.2">
      <c r="A176" s="15">
        <v>175</v>
      </c>
      <c r="B176" s="16" t="s">
        <v>172</v>
      </c>
      <c r="C176" s="18">
        <v>466330</v>
      </c>
      <c r="D176" s="19">
        <v>5.7000000000000003E-5</v>
      </c>
      <c r="E176" s="19">
        <v>7.7999999999999996E-3</v>
      </c>
      <c r="F176" s="20">
        <v>3609</v>
      </c>
      <c r="G176" s="15">
        <v>88</v>
      </c>
      <c r="H176" s="20">
        <v>5270</v>
      </c>
      <c r="I176" s="15">
        <v>0</v>
      </c>
      <c r="J176" s="15">
        <v>1.71</v>
      </c>
      <c r="K176" s="15">
        <v>32.700000000000003</v>
      </c>
      <c r="L176" s="19">
        <v>0.80100000000000005</v>
      </c>
    </row>
    <row r="177" spans="1:12" x14ac:dyDescent="0.2">
      <c r="A177" s="15">
        <v>176</v>
      </c>
      <c r="B177" s="16" t="s">
        <v>173</v>
      </c>
      <c r="C177" s="18">
        <v>422924</v>
      </c>
      <c r="D177" s="19">
        <v>5.1E-5</v>
      </c>
      <c r="E177" s="19">
        <v>1.4E-2</v>
      </c>
      <c r="F177" s="20">
        <v>5852</v>
      </c>
      <c r="G177" s="15">
        <v>19</v>
      </c>
      <c r="H177" s="20">
        <v>22810</v>
      </c>
      <c r="I177" s="15">
        <v>360</v>
      </c>
      <c r="J177" s="15">
        <v>2.0099999999999998</v>
      </c>
      <c r="K177" s="15">
        <v>26.9</v>
      </c>
      <c r="L177" s="19">
        <v>0.48599999999999999</v>
      </c>
    </row>
    <row r="178" spans="1:12" x14ac:dyDescent="0.2">
      <c r="A178" s="15">
        <v>177</v>
      </c>
      <c r="B178" s="16" t="s">
        <v>174</v>
      </c>
      <c r="C178" s="18">
        <v>403033</v>
      </c>
      <c r="D178" s="19">
        <v>4.8999999999999998E-5</v>
      </c>
      <c r="E178" s="19">
        <v>4.4000000000000003E-3</v>
      </c>
      <c r="F178" s="20">
        <v>1750</v>
      </c>
      <c r="G178" s="15">
        <v>40</v>
      </c>
      <c r="H178" s="20">
        <v>10010</v>
      </c>
      <c r="I178" s="15">
        <v>935</v>
      </c>
      <c r="J178" s="15">
        <v>1.36</v>
      </c>
      <c r="K178" s="15">
        <v>35.299999999999997</v>
      </c>
      <c r="L178" s="19">
        <v>0.88400000000000001</v>
      </c>
    </row>
    <row r="179" spans="1:12" x14ac:dyDescent="0.2">
      <c r="A179" s="15">
        <v>178</v>
      </c>
      <c r="B179" s="16" t="s">
        <v>175</v>
      </c>
      <c r="C179" s="18">
        <v>398266</v>
      </c>
      <c r="D179" s="19">
        <v>4.8000000000000001E-5</v>
      </c>
      <c r="E179" s="19">
        <v>1.24E-2</v>
      </c>
      <c r="F179" s="20">
        <v>4870</v>
      </c>
      <c r="G179" s="15">
        <v>4</v>
      </c>
      <c r="H179" s="20">
        <v>100250</v>
      </c>
      <c r="I179" s="20">
        <v>2709</v>
      </c>
      <c r="J179" s="15">
        <v>1.5</v>
      </c>
      <c r="K179" s="15">
        <v>36.200000000000003</v>
      </c>
      <c r="L179" s="21">
        <v>0.84</v>
      </c>
    </row>
    <row r="180" spans="1:12" x14ac:dyDescent="0.2">
      <c r="A180" s="15">
        <v>179</v>
      </c>
      <c r="B180" s="16" t="s">
        <v>388</v>
      </c>
      <c r="C180" s="18">
        <v>373791</v>
      </c>
      <c r="D180" s="19">
        <v>4.5000000000000003E-5</v>
      </c>
      <c r="E180" s="15" t="s">
        <v>389</v>
      </c>
      <c r="F180" s="15" t="s">
        <v>390</v>
      </c>
      <c r="G180" s="15">
        <v>221</v>
      </c>
      <c r="H180" s="20">
        <v>1690</v>
      </c>
      <c r="I180" s="15" t="s">
        <v>391</v>
      </c>
      <c r="J180" s="15">
        <v>2.0499999999999998</v>
      </c>
      <c r="K180" s="15">
        <v>47.2</v>
      </c>
    </row>
    <row r="181" spans="1:12" x14ac:dyDescent="0.2">
      <c r="A181" s="15">
        <v>180</v>
      </c>
      <c r="B181" s="16" t="s">
        <v>392</v>
      </c>
      <c r="C181" s="18">
        <v>340439</v>
      </c>
      <c r="D181" s="19">
        <v>4.1E-5</v>
      </c>
      <c r="E181" s="15" t="s">
        <v>393</v>
      </c>
      <c r="F181" s="15" t="s">
        <v>394</v>
      </c>
      <c r="G181" s="15">
        <v>321</v>
      </c>
      <c r="H181" s="20">
        <v>1060</v>
      </c>
      <c r="I181" s="15" t="s">
        <v>395</v>
      </c>
      <c r="J181" s="15">
        <v>1.97</v>
      </c>
      <c r="K181" s="15">
        <v>49.7</v>
      </c>
    </row>
    <row r="182" spans="1:12" x14ac:dyDescent="0.2">
      <c r="A182" s="15">
        <v>181</v>
      </c>
      <c r="B182" s="16" t="s">
        <v>396</v>
      </c>
      <c r="C182" s="18">
        <v>337011</v>
      </c>
      <c r="D182" s="19">
        <v>4.1E-5</v>
      </c>
      <c r="E182" s="19">
        <v>3.2199999999999999E-2</v>
      </c>
      <c r="F182" s="20">
        <v>10506</v>
      </c>
      <c r="G182" s="15">
        <v>899</v>
      </c>
      <c r="H182" s="15">
        <v>375</v>
      </c>
      <c r="I182" s="15">
        <v>44</v>
      </c>
      <c r="J182" s="15">
        <v>4.5</v>
      </c>
      <c r="K182" s="15">
        <v>17.100000000000001</v>
      </c>
      <c r="L182" s="19">
        <v>0.41399999999999998</v>
      </c>
    </row>
    <row r="183" spans="1:12" x14ac:dyDescent="0.2">
      <c r="A183" s="15">
        <v>182</v>
      </c>
      <c r="B183" s="16" t="s">
        <v>176</v>
      </c>
      <c r="C183" s="18">
        <v>335169</v>
      </c>
      <c r="D183" s="19">
        <v>4.1E-5</v>
      </c>
      <c r="E183" s="19">
        <v>2.2599999999999999E-2</v>
      </c>
      <c r="F183" s="20">
        <v>7392</v>
      </c>
      <c r="G183" s="15">
        <v>27</v>
      </c>
      <c r="H183" s="20">
        <v>12190</v>
      </c>
      <c r="I183" s="15" t="s">
        <v>397</v>
      </c>
      <c r="J183" s="15">
        <v>3.53</v>
      </c>
      <c r="K183" s="15">
        <v>20.3</v>
      </c>
      <c r="L183" s="19">
        <v>0.254</v>
      </c>
    </row>
    <row r="184" spans="1:12" x14ac:dyDescent="0.2">
      <c r="A184" s="15">
        <v>183</v>
      </c>
      <c r="B184" s="16" t="s">
        <v>398</v>
      </c>
      <c r="C184" s="18">
        <v>313666</v>
      </c>
      <c r="D184" s="19">
        <v>3.8000000000000002E-5</v>
      </c>
      <c r="E184" s="19">
        <v>1.67E-2</v>
      </c>
      <c r="F184" s="20">
        <v>5144</v>
      </c>
      <c r="G184" s="15">
        <v>4</v>
      </c>
      <c r="H184" s="20">
        <v>82200</v>
      </c>
      <c r="I184" s="15" t="s">
        <v>399</v>
      </c>
      <c r="J184" s="15">
        <v>3.29</v>
      </c>
      <c r="K184" s="15">
        <v>25</v>
      </c>
      <c r="L184" s="19">
        <v>0.94499999999999995</v>
      </c>
    </row>
    <row r="185" spans="1:12" x14ac:dyDescent="0.2">
      <c r="A185" s="15">
        <v>184</v>
      </c>
      <c r="B185" s="16" t="s">
        <v>400</v>
      </c>
      <c r="C185" s="18">
        <v>295333</v>
      </c>
      <c r="D185" s="19">
        <v>3.6000000000000001E-5</v>
      </c>
      <c r="E185" s="19">
        <v>9.1999999999999998E-3</v>
      </c>
      <c r="F185" s="20">
        <v>2694</v>
      </c>
      <c r="G185" s="15">
        <v>16</v>
      </c>
      <c r="H185" s="20">
        <v>18280</v>
      </c>
      <c r="I185" s="15">
        <v>440</v>
      </c>
      <c r="J185" s="15">
        <v>1.95</v>
      </c>
      <c r="K185" s="15">
        <v>34.5</v>
      </c>
      <c r="L185" s="19">
        <v>0.75700000000000001</v>
      </c>
    </row>
    <row r="186" spans="1:12" x14ac:dyDescent="0.2">
      <c r="A186" s="15">
        <v>185</v>
      </c>
      <c r="B186" s="16" t="s">
        <v>177</v>
      </c>
      <c r="C186" s="18">
        <v>282623</v>
      </c>
      <c r="D186" s="19">
        <v>3.4E-5</v>
      </c>
      <c r="E186" s="19">
        <v>5.9999999999999995E-4</v>
      </c>
      <c r="F186" s="15">
        <v>156</v>
      </c>
      <c r="G186" s="15">
        <v>657</v>
      </c>
      <c r="H186" s="15">
        <v>430</v>
      </c>
      <c r="I186" s="15" t="s">
        <v>401</v>
      </c>
      <c r="J186" s="15">
        <v>1.71</v>
      </c>
      <c r="K186" s="15">
        <v>39.4</v>
      </c>
      <c r="L186" s="19">
        <v>0.32500000000000001</v>
      </c>
    </row>
    <row r="187" spans="1:12" x14ac:dyDescent="0.2">
      <c r="A187" s="15">
        <v>186</v>
      </c>
      <c r="B187" s="16" t="s">
        <v>402</v>
      </c>
      <c r="C187" s="18">
        <v>282465</v>
      </c>
      <c r="D187" s="19">
        <v>3.4E-5</v>
      </c>
      <c r="E187" s="19">
        <v>2.3E-3</v>
      </c>
      <c r="F187" s="15">
        <v>658</v>
      </c>
      <c r="G187" s="15">
        <v>77</v>
      </c>
      <c r="H187" s="20">
        <v>3660</v>
      </c>
      <c r="I187" s="15" t="s">
        <v>403</v>
      </c>
      <c r="J187" s="15">
        <v>1.48</v>
      </c>
      <c r="K187" s="15">
        <v>36.1</v>
      </c>
      <c r="L187" s="19">
        <v>0.65900000000000003</v>
      </c>
    </row>
    <row r="188" spans="1:12" x14ac:dyDescent="0.2">
      <c r="A188" s="15">
        <v>187</v>
      </c>
      <c r="B188" s="16" t="s">
        <v>178</v>
      </c>
      <c r="C188" s="18">
        <v>240254</v>
      </c>
      <c r="D188" s="19">
        <v>2.9E-5</v>
      </c>
      <c r="E188" s="21">
        <v>0.02</v>
      </c>
      <c r="F188" s="20">
        <v>4718</v>
      </c>
      <c r="G188" s="15">
        <v>250</v>
      </c>
      <c r="H188" s="15">
        <v>960</v>
      </c>
      <c r="I188" s="15" t="s">
        <v>404</v>
      </c>
      <c r="J188" s="15">
        <v>3.53</v>
      </c>
      <c r="K188" s="15">
        <v>19.5</v>
      </c>
      <c r="L188" s="19">
        <v>0.78200000000000003</v>
      </c>
    </row>
    <row r="189" spans="1:12" x14ac:dyDescent="0.2">
      <c r="A189" s="15">
        <v>188</v>
      </c>
      <c r="B189" s="16" t="s">
        <v>179</v>
      </c>
      <c r="C189" s="18">
        <v>219306</v>
      </c>
      <c r="D189" s="19">
        <v>2.6999999999999999E-5</v>
      </c>
      <c r="E189" s="19">
        <v>5.8999999999999999E-3</v>
      </c>
      <c r="F189" s="20">
        <v>1287</v>
      </c>
      <c r="G189" s="15">
        <v>77</v>
      </c>
      <c r="H189" s="20">
        <v>2830</v>
      </c>
      <c r="I189" s="15" t="s">
        <v>405</v>
      </c>
      <c r="J189" s="15">
        <v>3.75</v>
      </c>
      <c r="K189" s="15">
        <v>19.8</v>
      </c>
      <c r="L189" s="19">
        <v>0.16300000000000001</v>
      </c>
    </row>
    <row r="190" spans="1:12" x14ac:dyDescent="0.2">
      <c r="A190" s="15">
        <v>189</v>
      </c>
      <c r="B190" s="16" t="s">
        <v>406</v>
      </c>
      <c r="C190" s="18">
        <v>185487</v>
      </c>
      <c r="D190" s="19">
        <v>2.3E-5</v>
      </c>
      <c r="E190" s="21">
        <v>0</v>
      </c>
      <c r="F190" s="15">
        <v>5</v>
      </c>
      <c r="G190" s="15">
        <v>418</v>
      </c>
      <c r="H190" s="15">
        <v>444</v>
      </c>
      <c r="I190" s="15">
        <v>470</v>
      </c>
      <c r="J190" s="15">
        <v>1.07</v>
      </c>
      <c r="K190" s="15">
        <v>38.700000000000003</v>
      </c>
      <c r="L190" s="19">
        <v>0.80800000000000005</v>
      </c>
    </row>
    <row r="191" spans="1:12" x14ac:dyDescent="0.2">
      <c r="A191" s="15">
        <v>190</v>
      </c>
      <c r="B191" s="16" t="s">
        <v>180</v>
      </c>
      <c r="C191" s="18">
        <v>180149</v>
      </c>
      <c r="D191" s="19">
        <v>2.1999999999999999E-5</v>
      </c>
      <c r="E191" s="19">
        <v>2.3E-3</v>
      </c>
      <c r="F191" s="15">
        <v>405</v>
      </c>
      <c r="G191" s="15">
        <v>295</v>
      </c>
      <c r="H191" s="15">
        <v>610</v>
      </c>
      <c r="I191" s="15" t="s">
        <v>407</v>
      </c>
      <c r="J191" s="15">
        <v>1.38</v>
      </c>
      <c r="K191" s="15">
        <v>34.6</v>
      </c>
      <c r="L191" s="19">
        <v>0.19900000000000001</v>
      </c>
    </row>
    <row r="192" spans="1:12" x14ac:dyDescent="0.2">
      <c r="A192" s="15">
        <v>191</v>
      </c>
      <c r="B192" s="16" t="s">
        <v>408</v>
      </c>
      <c r="C192" s="18">
        <v>168999</v>
      </c>
      <c r="D192" s="19">
        <v>2.0999999999999999E-5</v>
      </c>
      <c r="E192" s="19">
        <v>7.3000000000000001E-3</v>
      </c>
      <c r="F192" s="20">
        <v>1222</v>
      </c>
      <c r="G192" s="15">
        <v>313</v>
      </c>
      <c r="H192" s="15">
        <v>540</v>
      </c>
      <c r="I192" s="15" t="s">
        <v>409</v>
      </c>
      <c r="J192" s="15">
        <v>2.71</v>
      </c>
      <c r="K192" s="15">
        <v>31.5</v>
      </c>
      <c r="L192" s="19">
        <v>0.98799999999999999</v>
      </c>
    </row>
    <row r="193" spans="1:12" x14ac:dyDescent="0.2">
      <c r="A193" s="15">
        <v>192</v>
      </c>
      <c r="B193" s="16" t="s">
        <v>181</v>
      </c>
      <c r="C193" s="18">
        <v>136488</v>
      </c>
      <c r="D193" s="19">
        <v>1.7E-5</v>
      </c>
      <c r="E193" s="19">
        <v>1.46E-2</v>
      </c>
      <c r="F193" s="20">
        <v>1970</v>
      </c>
      <c r="G193" s="15">
        <v>169</v>
      </c>
      <c r="H193" s="15">
        <v>810</v>
      </c>
      <c r="I193" s="15" t="s">
        <v>410</v>
      </c>
      <c r="J193" s="15">
        <v>3.09</v>
      </c>
      <c r="K193" s="15">
        <v>22.9</v>
      </c>
      <c r="L193" s="19">
        <v>0.57299999999999995</v>
      </c>
    </row>
    <row r="194" spans="1:12" x14ac:dyDescent="0.2">
      <c r="A194" s="15">
        <v>193</v>
      </c>
      <c r="B194" s="16" t="s">
        <v>182</v>
      </c>
      <c r="C194" s="18">
        <v>132779</v>
      </c>
      <c r="D194" s="19">
        <v>1.5999999999999999E-5</v>
      </c>
      <c r="E194" s="19">
        <v>1.8100000000000002E-2</v>
      </c>
      <c r="F194" s="20">
        <v>2361</v>
      </c>
      <c r="G194" s="15">
        <v>289</v>
      </c>
      <c r="H194" s="15">
        <v>460</v>
      </c>
      <c r="I194" s="20">
        <v>1590</v>
      </c>
      <c r="J194" s="15">
        <v>2.08</v>
      </c>
      <c r="K194" s="15">
        <v>34.299999999999997</v>
      </c>
      <c r="L194" s="19">
        <v>0.438</v>
      </c>
    </row>
    <row r="195" spans="1:12" x14ac:dyDescent="0.2">
      <c r="A195" s="15">
        <v>194</v>
      </c>
      <c r="B195" s="16" t="s">
        <v>183</v>
      </c>
      <c r="C195" s="18">
        <v>117303</v>
      </c>
      <c r="D195" s="19">
        <v>1.4E-5</v>
      </c>
      <c r="E195" s="19">
        <v>8.0000000000000004E-4</v>
      </c>
      <c r="F195" s="15">
        <v>96</v>
      </c>
      <c r="G195" s="15">
        <v>345</v>
      </c>
      <c r="H195" s="15">
        <v>340</v>
      </c>
      <c r="I195" s="15" t="s">
        <v>411</v>
      </c>
      <c r="J195" s="15">
        <v>1.46</v>
      </c>
      <c r="K195" s="15">
        <v>34.4</v>
      </c>
      <c r="L195" s="19">
        <v>0.35499999999999998</v>
      </c>
    </row>
    <row r="196" spans="1:12" x14ac:dyDescent="0.2">
      <c r="A196" s="15">
        <v>195</v>
      </c>
      <c r="B196" s="16" t="s">
        <v>184</v>
      </c>
      <c r="C196" s="18">
        <v>113683</v>
      </c>
      <c r="D196" s="19">
        <v>1.4E-5</v>
      </c>
      <c r="E196" s="19">
        <v>4.5999999999999999E-3</v>
      </c>
      <c r="F196" s="15">
        <v>523</v>
      </c>
      <c r="G196" s="15">
        <v>162</v>
      </c>
      <c r="H196" s="15">
        <v>700</v>
      </c>
      <c r="I196" s="15" t="s">
        <v>412</v>
      </c>
      <c r="J196" s="15">
        <v>2.71</v>
      </c>
      <c r="K196" s="15">
        <v>23.3</v>
      </c>
      <c r="L196" s="19">
        <v>0.23499999999999999</v>
      </c>
    </row>
    <row r="197" spans="1:12" x14ac:dyDescent="0.2">
      <c r="A197" s="15">
        <v>196</v>
      </c>
      <c r="B197" s="16" t="s">
        <v>413</v>
      </c>
      <c r="C197" s="18">
        <v>108147</v>
      </c>
      <c r="D197" s="19">
        <v>1.2999999999999999E-5</v>
      </c>
      <c r="E197" s="19">
        <v>6.9999999999999999E-4</v>
      </c>
      <c r="F197" s="15">
        <v>81</v>
      </c>
      <c r="G197" s="15">
        <v>601</v>
      </c>
      <c r="H197" s="15">
        <v>180</v>
      </c>
      <c r="I197" s="15">
        <v>111</v>
      </c>
      <c r="J197" s="15">
        <v>1.6</v>
      </c>
      <c r="K197" s="15">
        <v>41.5</v>
      </c>
      <c r="L197" s="19">
        <v>0.44700000000000001</v>
      </c>
    </row>
    <row r="198" spans="1:12" x14ac:dyDescent="0.2">
      <c r="A198" s="15">
        <v>197</v>
      </c>
      <c r="B198" s="16" t="s">
        <v>185</v>
      </c>
      <c r="C198" s="18">
        <v>103742</v>
      </c>
      <c r="D198" s="19">
        <v>1.2999999999999999E-5</v>
      </c>
      <c r="E198" s="15" t="s">
        <v>414</v>
      </c>
      <c r="F198" s="15" t="s">
        <v>415</v>
      </c>
      <c r="G198" s="15">
        <v>144</v>
      </c>
      <c r="H198" s="15">
        <v>720</v>
      </c>
      <c r="I198" s="15" t="s">
        <v>416</v>
      </c>
      <c r="J198" s="15">
        <v>3.07</v>
      </c>
      <c r="K198" s="15">
        <v>20.8</v>
      </c>
      <c r="L198" s="21">
        <v>0.26</v>
      </c>
    </row>
    <row r="199" spans="1:12" x14ac:dyDescent="0.2">
      <c r="A199" s="15">
        <v>198</v>
      </c>
      <c r="B199" s="16" t="s">
        <v>186</v>
      </c>
      <c r="C199" s="18">
        <v>99924</v>
      </c>
      <c r="D199" s="19">
        <v>1.2E-5</v>
      </c>
      <c r="E199" s="15" t="s">
        <v>417</v>
      </c>
      <c r="F199" s="15" t="s">
        <v>418</v>
      </c>
      <c r="G199" s="15">
        <v>256</v>
      </c>
      <c r="H199" s="15">
        <v>390</v>
      </c>
      <c r="I199" s="15" t="s">
        <v>419</v>
      </c>
      <c r="J199" s="15">
        <v>1.75</v>
      </c>
      <c r="K199" s="15">
        <v>34.4</v>
      </c>
      <c r="L199" s="19">
        <v>0.61599999999999999</v>
      </c>
    </row>
    <row r="200" spans="1:12" x14ac:dyDescent="0.2">
      <c r="A200" s="15">
        <v>199</v>
      </c>
      <c r="B200" s="16" t="s">
        <v>187</v>
      </c>
      <c r="C200" s="18">
        <v>94209</v>
      </c>
      <c r="D200" s="19">
        <v>1.1E-5</v>
      </c>
      <c r="E200" s="19">
        <v>4.7000000000000002E-3</v>
      </c>
      <c r="F200" s="15">
        <v>437</v>
      </c>
      <c r="G200" s="15">
        <v>214</v>
      </c>
      <c r="H200" s="15">
        <v>440</v>
      </c>
      <c r="I200" s="15">
        <v>12</v>
      </c>
      <c r="J200" s="15">
        <v>1.58</v>
      </c>
      <c r="K200" s="15">
        <v>36.299999999999997</v>
      </c>
      <c r="L200" s="19">
        <v>0.28499999999999998</v>
      </c>
    </row>
    <row r="201" spans="1:12" x14ac:dyDescent="0.2">
      <c r="A201" s="15">
        <v>200</v>
      </c>
      <c r="B201" s="16" t="s">
        <v>420</v>
      </c>
      <c r="C201" s="18">
        <v>84138</v>
      </c>
      <c r="D201" s="19">
        <v>1.0000000000000001E-5</v>
      </c>
      <c r="E201" s="15" t="s">
        <v>382</v>
      </c>
      <c r="F201" s="15" t="s">
        <v>421</v>
      </c>
      <c r="G201" s="15">
        <v>240</v>
      </c>
      <c r="H201" s="15">
        <v>350</v>
      </c>
      <c r="I201" s="15" t="s">
        <v>422</v>
      </c>
      <c r="J201" s="15">
        <v>2.0699999999999998</v>
      </c>
      <c r="K201" s="15">
        <v>44.8</v>
      </c>
    </row>
    <row r="202" spans="1:12" x14ac:dyDescent="0.2">
      <c r="A202" s="15">
        <v>201</v>
      </c>
      <c r="B202" s="16" t="s">
        <v>423</v>
      </c>
      <c r="C202" s="18">
        <v>84118</v>
      </c>
      <c r="D202" s="19">
        <v>1.0000000000000001E-5</v>
      </c>
      <c r="E202" s="15" t="s">
        <v>424</v>
      </c>
      <c r="F202" s="15" t="s">
        <v>425</v>
      </c>
      <c r="G202" s="15">
        <v>148</v>
      </c>
      <c r="H202" s="15">
        <v>570</v>
      </c>
      <c r="I202" s="15">
        <v>166</v>
      </c>
      <c r="J202" s="15">
        <v>1.53</v>
      </c>
      <c r="K202" s="15">
        <v>46.1</v>
      </c>
      <c r="L202" s="19">
        <v>0.56699999999999995</v>
      </c>
    </row>
    <row r="203" spans="1:12" x14ac:dyDescent="0.2">
      <c r="A203" s="15">
        <v>202</v>
      </c>
      <c r="B203" s="16" t="s">
        <v>188</v>
      </c>
      <c r="C203" s="18">
        <v>82904</v>
      </c>
      <c r="D203" s="19">
        <v>1.0000000000000001E-5</v>
      </c>
      <c r="E203" s="19">
        <v>1.18E-2</v>
      </c>
      <c r="F203" s="15">
        <v>966</v>
      </c>
      <c r="G203" s="15">
        <v>176</v>
      </c>
      <c r="H203" s="15">
        <v>470</v>
      </c>
      <c r="I203" s="15">
        <v>843</v>
      </c>
      <c r="J203" s="15">
        <v>1.1000000000000001</v>
      </c>
      <c r="K203" s="15">
        <v>43.9</v>
      </c>
      <c r="L203" s="19">
        <v>0.82299999999999995</v>
      </c>
    </row>
    <row r="204" spans="1:12" x14ac:dyDescent="0.2">
      <c r="A204" s="15">
        <v>203</v>
      </c>
      <c r="B204" s="16" t="s">
        <v>426</v>
      </c>
      <c r="C204" s="18">
        <v>75844</v>
      </c>
      <c r="D204" s="19">
        <v>9.2E-6</v>
      </c>
      <c r="E204" s="19">
        <v>1.8599999999999998E-2</v>
      </c>
      <c r="F204" s="20">
        <v>1387</v>
      </c>
      <c r="G204" s="15">
        <v>316</v>
      </c>
      <c r="H204" s="15">
        <v>240</v>
      </c>
      <c r="I204" s="15">
        <v>888</v>
      </c>
      <c r="J204" s="15">
        <v>1.51</v>
      </c>
      <c r="K204" s="15">
        <v>38.700000000000003</v>
      </c>
      <c r="L204" s="19">
        <v>0.89100000000000001</v>
      </c>
    </row>
    <row r="205" spans="1:12" x14ac:dyDescent="0.2">
      <c r="A205" s="15">
        <v>204</v>
      </c>
      <c r="B205" s="16" t="s">
        <v>189</v>
      </c>
      <c r="C205" s="18">
        <v>65871</v>
      </c>
      <c r="D205" s="19">
        <v>7.9999999999999996E-6</v>
      </c>
      <c r="E205" s="15" t="s">
        <v>427</v>
      </c>
      <c r="F205" s="15" t="s">
        <v>428</v>
      </c>
      <c r="G205" s="15">
        <v>88</v>
      </c>
      <c r="H205" s="15">
        <v>750</v>
      </c>
      <c r="I205" s="15" t="s">
        <v>429</v>
      </c>
      <c r="J205" s="15">
        <v>1.47</v>
      </c>
      <c r="K205" s="15">
        <v>36.299999999999997</v>
      </c>
      <c r="L205" s="19">
        <v>0.84499999999999997</v>
      </c>
    </row>
    <row r="206" spans="1:12" x14ac:dyDescent="0.2">
      <c r="A206" s="15">
        <v>205</v>
      </c>
      <c r="B206" s="16" t="s">
        <v>430</v>
      </c>
      <c r="C206" s="18">
        <v>64555</v>
      </c>
      <c r="D206" s="19">
        <v>7.7999999999999999E-6</v>
      </c>
      <c r="E206" s="15" t="s">
        <v>290</v>
      </c>
      <c r="F206" s="15" t="s">
        <v>431</v>
      </c>
      <c r="G206" s="20">
        <v>1291</v>
      </c>
      <c r="H206" s="15">
        <v>50</v>
      </c>
      <c r="I206" s="15" t="s">
        <v>432</v>
      </c>
      <c r="J206" s="15">
        <v>1.41</v>
      </c>
      <c r="K206" s="15">
        <v>46</v>
      </c>
      <c r="L206" s="21">
        <v>0.93</v>
      </c>
    </row>
    <row r="207" spans="1:12" x14ac:dyDescent="0.2">
      <c r="A207" s="15">
        <v>206</v>
      </c>
      <c r="B207" s="16" t="s">
        <v>433</v>
      </c>
      <c r="C207" s="18">
        <v>56002</v>
      </c>
      <c r="D207" s="19">
        <v>6.8000000000000001E-6</v>
      </c>
      <c r="E207" s="19">
        <v>1.09E-2</v>
      </c>
      <c r="F207" s="15">
        <v>602</v>
      </c>
      <c r="G207" s="15">
        <v>40</v>
      </c>
      <c r="H207" s="20">
        <v>1396</v>
      </c>
      <c r="I207" s="15">
        <v>386</v>
      </c>
      <c r="J207" s="15">
        <v>2.2000000000000002</v>
      </c>
      <c r="K207" s="15">
        <v>37.1</v>
      </c>
      <c r="L207" s="19">
        <v>0.39500000000000002</v>
      </c>
    </row>
    <row r="208" spans="1:12" x14ac:dyDescent="0.2">
      <c r="A208" s="15">
        <v>207</v>
      </c>
      <c r="B208" s="16" t="s">
        <v>434</v>
      </c>
      <c r="C208" s="18">
        <v>55745</v>
      </c>
      <c r="D208" s="19">
        <v>6.8000000000000001E-6</v>
      </c>
      <c r="E208" s="15" t="s">
        <v>435</v>
      </c>
      <c r="F208" s="15" t="s">
        <v>436</v>
      </c>
      <c r="G208" s="15">
        <v>0</v>
      </c>
      <c r="H208" s="20">
        <v>410450</v>
      </c>
      <c r="I208" s="15" t="s">
        <v>437</v>
      </c>
      <c r="J208" s="15">
        <v>1.91</v>
      </c>
      <c r="K208" s="15">
        <v>35.1</v>
      </c>
      <c r="L208" s="19">
        <v>0.90700000000000003</v>
      </c>
    </row>
    <row r="209" spans="1:12" x14ac:dyDescent="0.2">
      <c r="A209" s="15">
        <v>208</v>
      </c>
      <c r="B209" s="16" t="s">
        <v>190</v>
      </c>
      <c r="C209" s="18">
        <v>46922</v>
      </c>
      <c r="D209" s="19">
        <v>5.6999999999999996E-6</v>
      </c>
      <c r="E209" s="19">
        <v>1.6999999999999999E-3</v>
      </c>
      <c r="F209" s="15">
        <v>79</v>
      </c>
      <c r="G209" s="15">
        <v>180</v>
      </c>
      <c r="H209" s="15">
        <v>260</v>
      </c>
      <c r="I209" s="15">
        <v>18</v>
      </c>
      <c r="J209" s="15">
        <v>1.51</v>
      </c>
      <c r="K209" s="15">
        <v>36.200000000000003</v>
      </c>
      <c r="L209" s="19">
        <v>0.39400000000000002</v>
      </c>
    </row>
    <row r="210" spans="1:12" x14ac:dyDescent="0.2">
      <c r="A210" s="15">
        <v>209</v>
      </c>
      <c r="B210" s="16" t="s">
        <v>438</v>
      </c>
      <c r="C210" s="18">
        <v>46855</v>
      </c>
      <c r="D210" s="19">
        <v>5.6999999999999996E-6</v>
      </c>
      <c r="E210" s="19">
        <v>6.8999999999999999E-3</v>
      </c>
      <c r="F210" s="15">
        <v>320</v>
      </c>
      <c r="G210" s="15">
        <v>49</v>
      </c>
      <c r="H210" s="15">
        <v>950</v>
      </c>
      <c r="I210" s="15">
        <v>177</v>
      </c>
      <c r="J210" s="15">
        <v>1.44</v>
      </c>
      <c r="K210" s="15">
        <v>39.200000000000003</v>
      </c>
      <c r="L210" s="19">
        <v>0.79400000000000004</v>
      </c>
    </row>
    <row r="211" spans="1:12" x14ac:dyDescent="0.2">
      <c r="A211" s="15">
        <v>210</v>
      </c>
      <c r="B211" s="16" t="s">
        <v>439</v>
      </c>
      <c r="C211" s="18">
        <v>46029</v>
      </c>
      <c r="D211" s="19">
        <v>5.5999999999999997E-6</v>
      </c>
      <c r="E211" s="15" t="s">
        <v>440</v>
      </c>
      <c r="F211" s="15" t="s">
        <v>441</v>
      </c>
      <c r="G211" s="15">
        <v>230</v>
      </c>
      <c r="H211" s="15">
        <v>200</v>
      </c>
      <c r="I211" s="15" t="s">
        <v>442</v>
      </c>
      <c r="J211" s="15">
        <v>2.25</v>
      </c>
      <c r="K211" s="15">
        <v>29</v>
      </c>
    </row>
    <row r="212" spans="1:12" x14ac:dyDescent="0.2">
      <c r="A212" s="15">
        <v>211</v>
      </c>
      <c r="B212" s="16" t="s">
        <v>443</v>
      </c>
      <c r="C212" s="18">
        <v>43923</v>
      </c>
      <c r="D212" s="19">
        <v>5.3000000000000001E-6</v>
      </c>
      <c r="E212" s="19">
        <v>1.32E-2</v>
      </c>
      <c r="F212" s="15">
        <v>573</v>
      </c>
      <c r="G212" s="20">
        <v>1292</v>
      </c>
      <c r="H212" s="15">
        <v>34</v>
      </c>
      <c r="I212" s="15">
        <v>530</v>
      </c>
      <c r="J212" s="15">
        <v>1.43</v>
      </c>
      <c r="K212" s="15">
        <v>41.8</v>
      </c>
      <c r="L212" s="19">
        <v>0.998</v>
      </c>
    </row>
    <row r="213" spans="1:12" x14ac:dyDescent="0.2">
      <c r="A213" s="15">
        <v>212</v>
      </c>
      <c r="B213" s="16" t="s">
        <v>444</v>
      </c>
      <c r="C213" s="18">
        <v>43541</v>
      </c>
      <c r="D213" s="19">
        <v>5.3000000000000001E-6</v>
      </c>
      <c r="E213" s="15" t="s">
        <v>445</v>
      </c>
      <c r="F213" s="15" t="s">
        <v>446</v>
      </c>
      <c r="G213" s="15">
        <v>95</v>
      </c>
      <c r="H213" s="15">
        <v>460</v>
      </c>
      <c r="I213" s="15" t="s">
        <v>447</v>
      </c>
      <c r="J213" s="15">
        <v>2.2799999999999998</v>
      </c>
      <c r="K213" s="15">
        <v>38</v>
      </c>
    </row>
    <row r="214" spans="1:12" x14ac:dyDescent="0.2">
      <c r="A214" s="15">
        <v>213</v>
      </c>
      <c r="B214" s="16" t="s">
        <v>191</v>
      </c>
      <c r="C214" s="18">
        <v>40128</v>
      </c>
      <c r="D214" s="19">
        <v>4.8999999999999997E-6</v>
      </c>
      <c r="E214" s="19">
        <v>6.4999999999999997E-3</v>
      </c>
      <c r="F214" s="15">
        <v>258</v>
      </c>
      <c r="G214" s="15">
        <v>251</v>
      </c>
      <c r="H214" s="15">
        <v>160</v>
      </c>
      <c r="I214" s="15">
        <v>194</v>
      </c>
      <c r="J214" s="15">
        <v>1.54</v>
      </c>
      <c r="K214" s="15">
        <v>44.5</v>
      </c>
      <c r="L214" s="19">
        <v>0.14699999999999999</v>
      </c>
    </row>
    <row r="215" spans="1:12" x14ac:dyDescent="0.2">
      <c r="A215" s="15">
        <v>214</v>
      </c>
      <c r="B215" s="16" t="s">
        <v>448</v>
      </c>
      <c r="C215" s="18">
        <v>40126</v>
      </c>
      <c r="D215" s="19">
        <v>4.8999999999999997E-6</v>
      </c>
      <c r="E215" s="19">
        <v>2.0299999999999999E-2</v>
      </c>
      <c r="F215" s="15">
        <v>797</v>
      </c>
      <c r="G215" s="20">
        <v>4013</v>
      </c>
      <c r="H215" s="15">
        <v>10</v>
      </c>
      <c r="I215" s="15">
        <v>549</v>
      </c>
      <c r="J215" s="15">
        <v>1.88</v>
      </c>
      <c r="K215" s="15">
        <v>38.799999999999997</v>
      </c>
      <c r="L215" s="19">
        <v>0.88500000000000001</v>
      </c>
    </row>
    <row r="216" spans="1:12" x14ac:dyDescent="0.2">
      <c r="A216" s="15">
        <v>215</v>
      </c>
      <c r="B216" s="16" t="s">
        <v>449</v>
      </c>
      <c r="C216" s="18">
        <v>39732</v>
      </c>
      <c r="D216" s="19">
        <v>4.7999999999999998E-6</v>
      </c>
      <c r="E216" s="19">
        <v>6.6E-3</v>
      </c>
      <c r="F216" s="15">
        <v>261</v>
      </c>
      <c r="G216" s="15">
        <v>265</v>
      </c>
      <c r="H216" s="15">
        <v>150</v>
      </c>
      <c r="I216" s="15">
        <v>153</v>
      </c>
      <c r="J216" s="15">
        <v>1.06</v>
      </c>
      <c r="K216" s="15">
        <v>38.6</v>
      </c>
      <c r="L216" s="19">
        <v>0.434</v>
      </c>
    </row>
    <row r="217" spans="1:12" x14ac:dyDescent="0.2">
      <c r="A217" s="15">
        <v>216</v>
      </c>
      <c r="B217" s="16" t="s">
        <v>192</v>
      </c>
      <c r="C217" s="18">
        <v>38341</v>
      </c>
      <c r="D217" s="19">
        <v>4.6999999999999999E-6</v>
      </c>
      <c r="E217" s="15" t="s">
        <v>450</v>
      </c>
      <c r="F217" s="15" t="s">
        <v>451</v>
      </c>
      <c r="G217" s="20">
        <v>25732</v>
      </c>
      <c r="H217" s="15">
        <v>1</v>
      </c>
      <c r="I217" s="15">
        <v>100</v>
      </c>
      <c r="J217" s="15">
        <v>2.09</v>
      </c>
      <c r="K217" s="15">
        <v>53.6</v>
      </c>
    </row>
    <row r="218" spans="1:12" x14ac:dyDescent="0.2">
      <c r="A218" s="15">
        <v>217</v>
      </c>
      <c r="B218" s="16" t="s">
        <v>193</v>
      </c>
      <c r="C218" s="18">
        <v>36282</v>
      </c>
      <c r="D218" s="19">
        <v>4.4000000000000002E-6</v>
      </c>
      <c r="E218" s="15" t="s">
        <v>452</v>
      </c>
      <c r="F218" s="15" t="s">
        <v>453</v>
      </c>
      <c r="G218" s="15">
        <v>202</v>
      </c>
      <c r="H218" s="15">
        <v>180</v>
      </c>
      <c r="I218" s="15" t="s">
        <v>454</v>
      </c>
      <c r="J218" s="15">
        <v>2.82</v>
      </c>
      <c r="K218" s="15">
        <v>20.399999999999999</v>
      </c>
    </row>
    <row r="219" spans="1:12" x14ac:dyDescent="0.2">
      <c r="A219" s="15">
        <v>218</v>
      </c>
      <c r="B219" s="16" t="s">
        <v>194</v>
      </c>
      <c r="C219" s="18">
        <v>33572</v>
      </c>
      <c r="D219" s="19">
        <v>4.0999999999999997E-6</v>
      </c>
      <c r="E219" s="15" t="s">
        <v>329</v>
      </c>
      <c r="F219" s="15" t="s">
        <v>455</v>
      </c>
      <c r="G219" s="15">
        <v>560</v>
      </c>
      <c r="H219" s="15">
        <v>60</v>
      </c>
      <c r="I219" s="15">
        <v>122</v>
      </c>
      <c r="J219" s="15">
        <v>1.1599999999999999</v>
      </c>
      <c r="K219" s="15">
        <v>48.6</v>
      </c>
    </row>
    <row r="220" spans="1:12" x14ac:dyDescent="0.2">
      <c r="A220" s="15">
        <v>219</v>
      </c>
      <c r="B220" s="16" t="s">
        <v>456</v>
      </c>
      <c r="C220" s="18">
        <v>31338</v>
      </c>
      <c r="D220" s="19">
        <v>3.8E-6</v>
      </c>
      <c r="E220" s="19">
        <v>2.1600000000000001E-2</v>
      </c>
      <c r="F220" s="15">
        <v>663</v>
      </c>
      <c r="G220" s="15">
        <v>96</v>
      </c>
      <c r="H220" s="15">
        <v>328</v>
      </c>
      <c r="I220" s="15">
        <v>600</v>
      </c>
      <c r="J220" s="15">
        <v>1.45</v>
      </c>
      <c r="K220" s="15">
        <v>39.6</v>
      </c>
      <c r="L220" s="19">
        <v>0.65600000000000003</v>
      </c>
    </row>
    <row r="221" spans="1:12" x14ac:dyDescent="0.2">
      <c r="A221" s="15">
        <v>220</v>
      </c>
      <c r="B221" s="16" t="s">
        <v>195</v>
      </c>
      <c r="C221" s="18">
        <v>17663</v>
      </c>
      <c r="D221" s="19">
        <v>2.0999999999999998E-6</v>
      </c>
      <c r="E221" s="15" t="s">
        <v>457</v>
      </c>
      <c r="F221" s="15" t="s">
        <v>458</v>
      </c>
      <c r="G221" s="15">
        <v>38</v>
      </c>
      <c r="H221" s="15">
        <v>460</v>
      </c>
      <c r="I221" s="15" t="s">
        <v>459</v>
      </c>
      <c r="J221" s="15">
        <v>1.86</v>
      </c>
      <c r="K221" s="15">
        <v>38.5</v>
      </c>
    </row>
    <row r="222" spans="1:12" x14ac:dyDescent="0.2">
      <c r="A222" s="15">
        <v>221</v>
      </c>
      <c r="B222" s="16" t="s">
        <v>460</v>
      </c>
      <c r="C222" s="18">
        <v>14728</v>
      </c>
      <c r="D222" s="19">
        <v>1.7999999999999999E-6</v>
      </c>
      <c r="E222" s="19">
        <v>8.8999999999999999E-3</v>
      </c>
      <c r="F222" s="15">
        <v>130</v>
      </c>
      <c r="G222" s="15">
        <v>164</v>
      </c>
      <c r="H222" s="15">
        <v>90</v>
      </c>
      <c r="I222" s="15">
        <v>70</v>
      </c>
      <c r="J222" s="15">
        <v>1.35</v>
      </c>
      <c r="K222" s="15">
        <v>38.700000000000003</v>
      </c>
    </row>
    <row r="223" spans="1:12" x14ac:dyDescent="0.2">
      <c r="A223" s="15">
        <v>222</v>
      </c>
      <c r="B223" s="16" t="s">
        <v>461</v>
      </c>
      <c r="C223" s="18">
        <v>13263</v>
      </c>
      <c r="D223" s="19">
        <v>1.5999999999999999E-6</v>
      </c>
      <c r="E223" s="15" t="s">
        <v>462</v>
      </c>
      <c r="F223" s="15" t="s">
        <v>463</v>
      </c>
      <c r="G223" s="15">
        <v>55</v>
      </c>
      <c r="H223" s="15">
        <v>240</v>
      </c>
      <c r="I223" s="15" t="s">
        <v>464</v>
      </c>
      <c r="J223" s="15">
        <v>2</v>
      </c>
      <c r="K223" s="15">
        <v>37.1</v>
      </c>
    </row>
    <row r="224" spans="1:12" x14ac:dyDescent="0.2">
      <c r="A224" s="15">
        <v>223</v>
      </c>
      <c r="B224" s="16" t="s">
        <v>196</v>
      </c>
      <c r="C224" s="18">
        <v>12025</v>
      </c>
      <c r="D224" s="19">
        <v>1.5E-6</v>
      </c>
      <c r="E224" s="19">
        <v>6.4999999999999997E-3</v>
      </c>
      <c r="F224" s="15">
        <v>78</v>
      </c>
      <c r="G224" s="15">
        <v>601</v>
      </c>
      <c r="H224" s="15">
        <v>20</v>
      </c>
      <c r="I224" s="15" t="s">
        <v>465</v>
      </c>
      <c r="J224" s="15">
        <v>3.25</v>
      </c>
      <c r="K224" s="15">
        <v>20.2</v>
      </c>
      <c r="L224" s="19">
        <v>0.94199999999999995</v>
      </c>
    </row>
    <row r="225" spans="1:12" x14ac:dyDescent="0.2">
      <c r="A225" s="15">
        <v>224</v>
      </c>
      <c r="B225" s="16" t="s">
        <v>466</v>
      </c>
      <c r="C225" s="18">
        <v>11414</v>
      </c>
      <c r="D225" s="19">
        <v>1.3999999999999999E-6</v>
      </c>
      <c r="E225" s="19">
        <v>1.3899999999999999E-2</v>
      </c>
      <c r="F225" s="15">
        <v>156</v>
      </c>
      <c r="G225" s="15">
        <v>544</v>
      </c>
      <c r="H225" s="15">
        <v>21</v>
      </c>
      <c r="I225" s="15">
        <v>158</v>
      </c>
      <c r="J225" s="15">
        <v>0.83</v>
      </c>
      <c r="K225" s="15">
        <v>39</v>
      </c>
    </row>
    <row r="226" spans="1:12" x14ac:dyDescent="0.2">
      <c r="A226" s="15">
        <v>225</v>
      </c>
      <c r="B226" s="16" t="s">
        <v>467</v>
      </c>
      <c r="C226" s="18">
        <v>11194</v>
      </c>
      <c r="D226" s="19">
        <v>1.3999999999999999E-6</v>
      </c>
      <c r="E226" s="15" t="s">
        <v>468</v>
      </c>
      <c r="F226" s="15" t="s">
        <v>469</v>
      </c>
      <c r="G226" s="15">
        <v>80</v>
      </c>
      <c r="H226" s="15">
        <v>140</v>
      </c>
      <c r="I226" s="15" t="s">
        <v>469</v>
      </c>
      <c r="J226" s="15">
        <v>1.4</v>
      </c>
      <c r="K226" s="15">
        <v>38.200000000000003</v>
      </c>
    </row>
    <row r="227" spans="1:12" x14ac:dyDescent="0.2">
      <c r="A227" s="15">
        <v>226</v>
      </c>
      <c r="B227" s="16" t="s">
        <v>197</v>
      </c>
      <c r="C227" s="18">
        <v>9492</v>
      </c>
      <c r="D227" s="19">
        <v>1.1999999999999999E-6</v>
      </c>
      <c r="E227" s="15" t="s">
        <v>470</v>
      </c>
      <c r="F227" s="15" t="s">
        <v>471</v>
      </c>
      <c r="G227" s="15">
        <v>316</v>
      </c>
      <c r="H227" s="15">
        <v>30</v>
      </c>
      <c r="I227" s="15" t="s">
        <v>472</v>
      </c>
      <c r="J227" s="15">
        <v>3.14</v>
      </c>
      <c r="K227" s="15">
        <v>24.2</v>
      </c>
      <c r="L227" s="21">
        <v>0.86</v>
      </c>
    </row>
    <row r="228" spans="1:12" x14ac:dyDescent="0.2">
      <c r="A228" s="15">
        <v>227</v>
      </c>
      <c r="B228" s="16" t="s">
        <v>473</v>
      </c>
      <c r="C228" s="18">
        <v>5574</v>
      </c>
      <c r="D228" s="19">
        <v>6.7999999999999995E-7</v>
      </c>
      <c r="E228" s="15" t="s">
        <v>474</v>
      </c>
      <c r="F228" s="15" t="s">
        <v>475</v>
      </c>
      <c r="G228" s="15">
        <v>24</v>
      </c>
      <c r="H228" s="15">
        <v>230</v>
      </c>
      <c r="I228" s="15" t="s">
        <v>476</v>
      </c>
      <c r="J228" s="15">
        <v>1.28</v>
      </c>
      <c r="K228" s="15">
        <v>47.2</v>
      </c>
    </row>
    <row r="229" spans="1:12" x14ac:dyDescent="0.2">
      <c r="A229" s="15">
        <v>228</v>
      </c>
      <c r="B229" s="16" t="s">
        <v>477</v>
      </c>
      <c r="C229" s="18">
        <v>5197</v>
      </c>
      <c r="D229" s="19">
        <v>6.3E-7</v>
      </c>
      <c r="E229" s="15" t="s">
        <v>338</v>
      </c>
      <c r="F229" s="15" t="s">
        <v>478</v>
      </c>
      <c r="G229" s="15">
        <v>13</v>
      </c>
      <c r="H229" s="15">
        <v>390</v>
      </c>
      <c r="I229" s="15">
        <v>1</v>
      </c>
      <c r="J229" s="15">
        <v>1.64</v>
      </c>
      <c r="K229" s="15">
        <v>50.9</v>
      </c>
      <c r="L229" s="19">
        <v>0.33400000000000002</v>
      </c>
    </row>
    <row r="230" spans="1:12" x14ac:dyDescent="0.2">
      <c r="A230" s="15">
        <v>229</v>
      </c>
      <c r="B230" s="16" t="s">
        <v>479</v>
      </c>
      <c r="C230" s="18">
        <v>4359</v>
      </c>
      <c r="D230" s="19">
        <v>5.3000000000000001E-7</v>
      </c>
      <c r="E230" s="15" t="s">
        <v>480</v>
      </c>
      <c r="F230" s="15" t="s">
        <v>481</v>
      </c>
      <c r="G230" s="15">
        <v>44</v>
      </c>
      <c r="H230" s="15">
        <v>100</v>
      </c>
      <c r="I230" s="15" t="s">
        <v>455</v>
      </c>
      <c r="J230" s="15">
        <v>1.45</v>
      </c>
      <c r="K230" s="15">
        <v>41.6</v>
      </c>
      <c r="L230" s="19">
        <v>0.115</v>
      </c>
    </row>
    <row r="231" spans="1:12" x14ac:dyDescent="0.2">
      <c r="A231" s="15">
        <v>230</v>
      </c>
      <c r="B231" s="16" t="s">
        <v>482</v>
      </c>
      <c r="C231" s="18">
        <v>3469</v>
      </c>
      <c r="D231" s="19">
        <v>4.2E-7</v>
      </c>
      <c r="E231" s="15" t="s">
        <v>329</v>
      </c>
      <c r="F231" s="15" t="s">
        <v>483</v>
      </c>
      <c r="G231" s="15">
        <v>0</v>
      </c>
      <c r="H231" s="20">
        <v>12170</v>
      </c>
      <c r="I231" s="15" t="s">
        <v>484</v>
      </c>
      <c r="J231" s="15">
        <v>1.7</v>
      </c>
      <c r="K231" s="15">
        <v>42.8</v>
      </c>
      <c r="L231" s="21">
        <v>0.68</v>
      </c>
    </row>
    <row r="232" spans="1:12" x14ac:dyDescent="0.2">
      <c r="A232" s="15">
        <v>231</v>
      </c>
      <c r="B232" s="16" t="s">
        <v>485</v>
      </c>
      <c r="C232" s="18">
        <v>2608</v>
      </c>
      <c r="D232" s="19">
        <v>3.2000000000000001E-7</v>
      </c>
      <c r="E232" s="19">
        <v>4.07E-2</v>
      </c>
      <c r="F232" s="15">
        <v>102</v>
      </c>
      <c r="G232" s="15">
        <v>261</v>
      </c>
      <c r="H232" s="15">
        <v>10</v>
      </c>
      <c r="I232" s="15">
        <v>53</v>
      </c>
      <c r="J232" s="15">
        <v>2.57</v>
      </c>
      <c r="K232" s="15">
        <v>27.3</v>
      </c>
    </row>
    <row r="233" spans="1:12" x14ac:dyDescent="0.2">
      <c r="A233" s="15">
        <v>232</v>
      </c>
      <c r="B233" s="16" t="s">
        <v>486</v>
      </c>
      <c r="C233" s="18">
        <v>1821</v>
      </c>
      <c r="D233" s="19">
        <v>2.2000000000000001E-7</v>
      </c>
      <c r="E233" s="19">
        <v>1.1000000000000001E-3</v>
      </c>
      <c r="F233" s="15">
        <v>2</v>
      </c>
      <c r="G233" s="15">
        <v>7</v>
      </c>
      <c r="H233" s="15">
        <v>260</v>
      </c>
      <c r="I233" s="15">
        <v>3</v>
      </c>
      <c r="J233" s="15">
        <v>2.46</v>
      </c>
      <c r="K233" s="15">
        <v>35.700000000000003</v>
      </c>
      <c r="L233" s="19">
        <v>0.44500000000000001</v>
      </c>
    </row>
    <row r="234" spans="1:12" x14ac:dyDescent="0.2">
      <c r="A234" s="15">
        <v>233</v>
      </c>
      <c r="B234" s="16" t="s">
        <v>198</v>
      </c>
      <c r="C234" s="22">
        <v>501</v>
      </c>
      <c r="D234" s="19">
        <v>6.1000000000000004E-8</v>
      </c>
      <c r="E234" s="19">
        <v>1.01E-2</v>
      </c>
      <c r="F234" s="15">
        <v>5</v>
      </c>
      <c r="G234" s="20">
        <v>1253</v>
      </c>
      <c r="H234" s="15">
        <v>0</v>
      </c>
      <c r="I234" s="15">
        <v>13</v>
      </c>
      <c r="J234" s="15">
        <v>1</v>
      </c>
      <c r="K234" s="15">
        <v>57.4</v>
      </c>
    </row>
  </sheetData>
  <hyperlinks>
    <hyperlink ref="B2" r:id="rId1" display="https://www.worldometers.info/world-population/india-population/" xr:uid="{793CAE64-8D91-F140-AAEE-F33689E5CB2E}"/>
    <hyperlink ref="B3" r:id="rId2" display="https://www.worldometers.info/world-population/china-population/" xr:uid="{0AC8CC97-70C5-8043-8C58-114BAD5253DA}"/>
    <hyperlink ref="B4" r:id="rId3" display="https://www.worldometers.info/world-population/us-population/" xr:uid="{72A167AC-8DB4-894D-AFFB-8A20600EC3E4}"/>
    <hyperlink ref="B5" r:id="rId4" display="https://www.worldometers.info/world-population/indonesia-population/" xr:uid="{870A2C40-E4A0-9A4E-BF81-3DC514F7AEDE}"/>
    <hyperlink ref="B6" r:id="rId5" display="https://www.worldometers.info/world-population/pakistan-population/" xr:uid="{A80463EB-B866-7841-B683-5F6A02BC77FD}"/>
    <hyperlink ref="B7" r:id="rId6" display="https://www.worldometers.info/world-population/nigeria-population/" xr:uid="{F25E6468-AE44-3F4C-A689-995B5E0BFCDB}"/>
    <hyperlink ref="B8" r:id="rId7" display="https://www.worldometers.info/world-population/brazil-population/" xr:uid="{B72603A6-2F87-4544-89DB-B4BC128B2166}"/>
    <hyperlink ref="B9" r:id="rId8" display="https://www.worldometers.info/world-population/bangladesh-population/" xr:uid="{39E7AC9C-BF09-534E-9EA4-5C8F1DC48F2E}"/>
    <hyperlink ref="B10" r:id="rId9" display="https://www.worldometers.info/world-population/russia-population/" xr:uid="{CEACFBA9-BB35-FD4F-AD14-C6329A1354ED}"/>
    <hyperlink ref="B11" r:id="rId10" display="https://www.worldometers.info/world-population/ethiopia-population/" xr:uid="{2F793EFD-46F4-234B-95BD-D683097BC394}"/>
    <hyperlink ref="B12" r:id="rId11" display="https://www.worldometers.info/world-population/mexico-population/" xr:uid="{509C83CB-59D7-4D44-8E9D-FE5BF5835A1F}"/>
    <hyperlink ref="B13" r:id="rId12" display="https://www.worldometers.info/world-population/japan-population/" xr:uid="{FA29DC94-4CF6-1844-8E3A-F624272A14A3}"/>
    <hyperlink ref="B14" r:id="rId13" display="https://www.worldometers.info/world-population/egypt-population/" xr:uid="{569DF85E-7604-0D40-9E87-76AD1E411C12}"/>
    <hyperlink ref="B15" r:id="rId14" display="https://www.worldometers.info/world-population/philippines-population/" xr:uid="{20FCB3DD-74F7-D141-A0E2-7874803AA95B}"/>
    <hyperlink ref="B16" r:id="rId15" display="https://www.worldometers.info/world-population/democratic-republic-of-the-congo-population/" xr:uid="{ED8516F6-B2EB-8647-B179-B17D7F579438}"/>
    <hyperlink ref="B17" r:id="rId16" display="https://www.worldometers.info/world-population/vietnam-population/" xr:uid="{25801641-1A6D-3E4B-BE95-B5CA7B3AF291}"/>
    <hyperlink ref="B18" r:id="rId17" display="https://www.worldometers.info/world-population/iran-population/" xr:uid="{6BF925E5-BE8A-C54C-B115-3505DC0BAA07}"/>
    <hyperlink ref="B19" r:id="rId18" display="https://www.worldometers.info/world-population/turkey-population/" xr:uid="{63370176-A068-F44A-B6FB-01C95422072D}"/>
    <hyperlink ref="B20" r:id="rId19" display="https://www.worldometers.info/world-population/germany-population/" xr:uid="{DF0F458B-3417-9442-8086-45A53212CDAE}"/>
    <hyperlink ref="B21" r:id="rId20" display="https://www.worldometers.info/world-population/thailand-population/" xr:uid="{E996C120-E5A3-4742-9B8F-587DCFF3BDE9}"/>
    <hyperlink ref="B22" r:id="rId21" display="https://www.worldometers.info/world-population/tanzania-population/" xr:uid="{6AF22ABD-49C0-F44D-B7C5-ED5BF1151D59}"/>
    <hyperlink ref="B23" r:id="rId22" display="https://www.worldometers.info/world-population/uk-population/" xr:uid="{B83A7D3E-5E1C-7A4D-9DE2-0830AC2C51BC}"/>
    <hyperlink ref="B24" r:id="rId23" display="https://www.worldometers.info/world-population/france-population/" xr:uid="{A96517E9-FF6C-8F43-8074-9B86A26A1AF2}"/>
    <hyperlink ref="B25" r:id="rId24" display="https://www.worldometers.info/world-population/south-africa-population/" xr:uid="{D0C2D02B-6F39-6649-8BD0-0AE6803627A6}"/>
    <hyperlink ref="B26" r:id="rId25" display="https://www.worldometers.info/world-population/italy-population/" xr:uid="{1126CC03-FC8B-5943-812F-F7862F6C00E3}"/>
    <hyperlink ref="B27" r:id="rId26" display="https://www.worldometers.info/world-population/kenya-population/" xr:uid="{0E9C4319-1F71-B549-8DFF-78D81FA174CA}"/>
    <hyperlink ref="B28" r:id="rId27" display="https://www.worldometers.info/world-population/myanmar-population/" xr:uid="{3F948D37-58F2-6E4C-AA7C-CA54E21FC66C}"/>
    <hyperlink ref="B29" r:id="rId28" display="https://www.worldometers.info/world-population/colombia-population/" xr:uid="{82DF263B-5091-9D49-9B52-FD0677928BAA}"/>
    <hyperlink ref="B30" r:id="rId29" display="https://www.worldometers.info/world-population/south-korea-population/" xr:uid="{8F8A3FC7-A670-434C-B945-1DB6EC455819}"/>
    <hyperlink ref="B31" r:id="rId30" display="https://www.worldometers.info/world-population/sudan-population/" xr:uid="{DEE245FE-CD90-FA4B-8B20-C3ACFB82D290}"/>
    <hyperlink ref="B32" r:id="rId31" display="https://www.worldometers.info/world-population/uganda-population/" xr:uid="{393FAE4B-34A0-A244-A3E5-991AD9A34CE8}"/>
    <hyperlink ref="B33" r:id="rId32" display="https://www.worldometers.info/world-population/spain-population/" xr:uid="{CD6C8487-8B7D-5F46-868D-03284B90402F}"/>
    <hyperlink ref="B34" r:id="rId33" display="https://www.worldometers.info/world-population/algeria-population/" xr:uid="{B685E9E3-6173-7943-A2C9-35C03A106837}"/>
    <hyperlink ref="B35" r:id="rId34" display="https://www.worldometers.info/world-population/iraq-population/" xr:uid="{9B478450-A9DA-1E4A-B6BD-6BCBE4065636}"/>
    <hyperlink ref="B36" r:id="rId35" display="https://www.worldometers.info/world-population/argentina-population/" xr:uid="{6232CC03-DAC5-CF43-BDB4-4F3BC81F632B}"/>
    <hyperlink ref="B37" r:id="rId36" display="https://www.worldometers.info/world-population/afghanistan-population/" xr:uid="{326CC8E2-B69A-9640-A626-72C53BDDF765}"/>
    <hyperlink ref="B38" r:id="rId37" display="https://www.worldometers.info/world-population/yemen-population/" xr:uid="{067F10FD-936E-5548-8E16-FEFB8C49FA02}"/>
    <hyperlink ref="B39" r:id="rId38" display="https://www.worldometers.info/world-population/canada-population/" xr:uid="{8C9EA156-52AE-F54D-9813-B35D2383D027}"/>
    <hyperlink ref="B40" r:id="rId39" display="https://www.worldometers.info/world-population/angola-population/" xr:uid="{831E182C-54E2-8844-988E-1B86E32E16BC}"/>
    <hyperlink ref="B41" r:id="rId40" display="https://www.worldometers.info/world-population/ukraine-population/" xr:uid="{68B467C9-07A1-9540-87E6-5F1CDA77F203}"/>
    <hyperlink ref="B42" r:id="rId41" display="https://www.worldometers.info/world-population/morocco-population/" xr:uid="{D5D41572-2372-A144-8C54-1C2CD6638166}"/>
    <hyperlink ref="B43" r:id="rId42" display="https://www.worldometers.info/world-population/poland-population/" xr:uid="{6E808854-5310-A44B-88A0-19841A0335A4}"/>
    <hyperlink ref="B44" r:id="rId43" display="https://www.worldometers.info/world-population/uzbekistan-population/" xr:uid="{12CD3FAC-264E-4946-BFF4-F8E29D7ADBCB}"/>
    <hyperlink ref="B45" r:id="rId44" display="https://www.worldometers.info/world-population/malaysia-population/" xr:uid="{439ADF57-353F-D042-956F-6CB722EB1F62}"/>
    <hyperlink ref="B46" r:id="rId45" display="https://www.worldometers.info/world-population/mozambique-population/" xr:uid="{CD2DB407-0361-D949-A944-3A0C2F18DC42}"/>
    <hyperlink ref="B47" r:id="rId46" display="https://www.worldometers.info/world-population/ghana-population/" xr:uid="{A5E844C1-A096-D748-971B-6275F902E528}"/>
    <hyperlink ref="B48" r:id="rId47" display="https://www.worldometers.info/world-population/peru-population/" xr:uid="{A8A35542-7553-E141-976F-7A4250AC422C}"/>
    <hyperlink ref="B49" r:id="rId48" display="https://www.worldometers.info/world-population/saudi-arabia-population/" xr:uid="{86987357-201D-BD46-8E8B-6528E4451FA5}"/>
    <hyperlink ref="B50" r:id="rId49" display="https://www.worldometers.info/world-population/madagascar-population/" xr:uid="{BF583697-7CF1-EA43-8AC6-EBE68800A27C}"/>
    <hyperlink ref="B51" r:id="rId50" display="https://www.worldometers.info/world-population/cote-d-ivoire-population/" xr:uid="{80EBC244-7759-6749-AD94-214AFD120874}"/>
    <hyperlink ref="B52" r:id="rId51" display="https://www.worldometers.info/world-population/cameroon-population/" xr:uid="{705C1DFA-0B6B-5D40-A1D3-BCE683B88403}"/>
    <hyperlink ref="B53" r:id="rId52" display="https://www.worldometers.info/world-population/nepal-population/" xr:uid="{D61E075B-936D-EF41-A8CC-981033164FB3}"/>
    <hyperlink ref="B54" r:id="rId53" display="https://www.worldometers.info/world-population/venezuela-population/" xr:uid="{8C7EE324-50A9-F641-B379-ED3CB49002E7}"/>
    <hyperlink ref="B55" r:id="rId54" display="https://www.worldometers.info/world-population/niger-population/" xr:uid="{120BDA36-96DB-DE41-B978-77FE12F62B24}"/>
    <hyperlink ref="B56" r:id="rId55" display="https://www.worldometers.info/world-population/australia-population/" xr:uid="{94282DEB-5437-0C4C-9EED-974B7755E539}"/>
    <hyperlink ref="B57" r:id="rId56" display="https://www.worldometers.info/world-population/north-korea-population/" xr:uid="{137DEA1F-37C6-9845-9769-B7B287D2A339}"/>
    <hyperlink ref="B58" r:id="rId57" display="https://www.worldometers.info/world-population/syria-population/" xr:uid="{8F984ECC-4797-ED47-913D-DB1312BAB715}"/>
    <hyperlink ref="B59" r:id="rId58" display="https://www.worldometers.info/world-population/mali-population/" xr:uid="{E28FBE2A-07A0-1D4E-92B7-EB198020412A}"/>
    <hyperlink ref="B60" r:id="rId59" display="https://www.worldometers.info/world-population/burkina-faso-population/" xr:uid="{2397A183-2E37-654D-89EB-F188FD0D09F7}"/>
    <hyperlink ref="B61" r:id="rId60" display="https://www.worldometers.info/world-population/sri-lanka-population/" xr:uid="{101B610E-EBDE-4A4A-981F-FBA7D2E82E37}"/>
    <hyperlink ref="B62" r:id="rId61" display="https://www.worldometers.info/world-population/taiwan-population/" xr:uid="{2B60CF5B-AF8D-634D-8546-4820D5D12FC0}"/>
    <hyperlink ref="B63" r:id="rId62" display="https://www.worldometers.info/world-population/malawi-population/" xr:uid="{DEE15718-8E92-F844-BE0F-94BEC562338D}"/>
    <hyperlink ref="B64" r:id="rId63" display="https://www.worldometers.info/world-population/zambia-population/" xr:uid="{1454C0FC-56FD-884E-8A35-4798FB7622C2}"/>
    <hyperlink ref="B65" r:id="rId64" display="https://www.worldometers.info/world-population/chad-population/" xr:uid="{563C1109-42BA-BF40-BA70-1EB560189B90}"/>
    <hyperlink ref="B66" r:id="rId65" display="https://www.worldometers.info/world-population/kazakhstan-population/" xr:uid="{D3A87114-C853-B542-A574-764BD765E9BE}"/>
    <hyperlink ref="B67" r:id="rId66" display="https://www.worldometers.info/world-population/chile-population/" xr:uid="{B9B0F9B0-57F4-BB46-8561-DD47946D2EA9}"/>
    <hyperlink ref="B68" r:id="rId67" display="https://www.worldometers.info/world-population/somalia-population/" xr:uid="{81A7CCDE-D0D6-EC4C-B3F5-27869185C054}"/>
    <hyperlink ref="B69" r:id="rId68" display="https://www.worldometers.info/world-population/senegal-population/" xr:uid="{C20C109A-A240-0B4B-BFCD-D6EFDCADAC4F}"/>
    <hyperlink ref="B70" r:id="rId69" display="https://www.worldometers.info/world-population/romania-population/" xr:uid="{934E6DC1-2FE1-A24F-B29F-79FF4991D868}"/>
    <hyperlink ref="B71" r:id="rId70" display="https://www.worldometers.info/world-population/guatemala-population/" xr:uid="{9782F58D-C1ED-3F4D-90B5-BDD873F1E0B8}"/>
    <hyperlink ref="B72" r:id="rId71" display="https://www.worldometers.info/world-population/netherlands-population/" xr:uid="{287C0882-616E-6B4A-AE01-1A5813177F73}"/>
    <hyperlink ref="B73" r:id="rId72" display="https://www.worldometers.info/world-population/ecuador-population/" xr:uid="{DB3C39A7-50F2-EE41-9680-AD6A33C165CD}"/>
    <hyperlink ref="B74" r:id="rId73" display="https://www.worldometers.info/world-population/cambodia-population/" xr:uid="{F5D2AE2C-DCF1-A04D-9DF7-310B6D554461}"/>
    <hyperlink ref="B75" r:id="rId74" display="https://www.worldometers.info/world-population/zimbabwe-population/" xr:uid="{0EAE1566-88BC-684A-AF93-0491D6C8D90C}"/>
    <hyperlink ref="B76" r:id="rId75" display="https://www.worldometers.info/world-population/guinea-population/" xr:uid="{E81FEB0A-6D89-9B4C-9831-0A3350A04F51}"/>
    <hyperlink ref="B77" r:id="rId76" display="https://www.worldometers.info/world-population/benin-population/" xr:uid="{2EF8C965-6BB4-C745-92E5-D12A59B15DB4}"/>
    <hyperlink ref="B78" r:id="rId77" display="https://www.worldometers.info/world-population/rwanda-population/" xr:uid="{F2AFF666-6546-C84A-ADCB-059EA1DA513E}"/>
    <hyperlink ref="B79" r:id="rId78" display="https://www.worldometers.info/world-population/burundi-population/" xr:uid="{942E7A8C-3940-A84B-A071-00908EDA87C6}"/>
    <hyperlink ref="B80" r:id="rId79" display="https://www.worldometers.info/world-population/bolivia-population/" xr:uid="{8EBEF542-8726-C348-BE9A-08C2E41F1B85}"/>
    <hyperlink ref="B81" r:id="rId80" display="https://www.worldometers.info/world-population/tunisia-population/" xr:uid="{1BE0CFFE-BE13-BB4D-82CC-7B636E077F0B}"/>
    <hyperlink ref="B82" r:id="rId81" display="https://www.worldometers.info/world-population/south-sudan-population/" xr:uid="{6A566250-E97D-FC4A-941C-5A7A7E335A3C}"/>
    <hyperlink ref="B83" r:id="rId82" display="https://www.worldometers.info/world-population/haiti-population/" xr:uid="{35179ED9-C54A-7F4C-B4CA-D5534F696591}"/>
    <hyperlink ref="B84" r:id="rId83" display="https://www.worldometers.info/world-population/belgium-population/" xr:uid="{A1174BFD-3133-CD43-AA0D-B5DA7723A80C}"/>
    <hyperlink ref="B85" r:id="rId84" display="https://www.worldometers.info/world-population/jordan-population/" xr:uid="{9C8E3E36-F478-C14C-86AC-02E13C9F547C}"/>
    <hyperlink ref="B86" r:id="rId85" display="https://www.worldometers.info/world-population/dominican-republic-population/" xr:uid="{6CD15799-3328-0746-9FC0-14E23194E934}"/>
    <hyperlink ref="B87" r:id="rId86" display="https://www.worldometers.info/world-population/united-arab-emirates-population/" xr:uid="{4EB1AA3B-C242-534E-908A-F3E2D11AF969}"/>
    <hyperlink ref="B88" r:id="rId87" display="https://www.worldometers.info/world-population/honduras-population/" xr:uid="{3CB6FBDA-A8E8-F54A-B26A-310C057E98A7}"/>
    <hyperlink ref="B89" r:id="rId88" display="https://www.worldometers.info/world-population/cuba-population/" xr:uid="{EE2D90FE-0E51-8D40-AD7A-DC2F399C7C30}"/>
    <hyperlink ref="B90" r:id="rId89" display="https://www.worldometers.info/world-population/tajikistan-population/" xr:uid="{D82194B2-9F4C-6B45-94F9-21DDBF419791}"/>
    <hyperlink ref="B91" r:id="rId90" display="https://www.worldometers.info/world-population/papua-new-guinea-population/" xr:uid="{43C25E1E-823E-A744-9E00-E13915574035}"/>
    <hyperlink ref="B92" r:id="rId91" display="https://www.worldometers.info/world-population/sweden-population/" xr:uid="{A0BCBA63-8545-7444-8102-D987620987B0}"/>
    <hyperlink ref="B93" r:id="rId92" display="https://www.worldometers.info/world-population/czechia-population/" xr:uid="{DC8865AA-3832-D247-AE87-6986999B83F7}"/>
    <hyperlink ref="B94" r:id="rId93" display="https://www.worldometers.info/world-population/portugal-population/" xr:uid="{0AA1EC63-A8CA-1A43-A7A0-2138A84AAB6D}"/>
    <hyperlink ref="B95" r:id="rId94" display="https://www.worldometers.info/world-population/azerbaijan-population/" xr:uid="{BA9C8622-E385-D045-9F50-79C41610FFB8}"/>
    <hyperlink ref="B96" r:id="rId95" display="https://www.worldometers.info/world-population/greece-population/" xr:uid="{D6B91BA3-C2C1-054D-AFA4-179FBFAF9397}"/>
    <hyperlink ref="B97" r:id="rId96" display="https://www.worldometers.info/world-population/togo-population/" xr:uid="{B32D46DC-D1D4-BA4E-AE57-80087BBEAB6F}"/>
    <hyperlink ref="B98" r:id="rId97" display="https://www.worldometers.info/world-population/hungary-population/" xr:uid="{0DB05B80-CD70-CD49-BC7B-317BB14CDBD5}"/>
    <hyperlink ref="B99" r:id="rId98" display="https://www.worldometers.info/world-population/israel-population/" xr:uid="{31BFC219-6D42-204E-A566-CA9FD3C20C15}"/>
    <hyperlink ref="B100" r:id="rId99" display="https://www.worldometers.info/world-population/austria-population/" xr:uid="{9C7A0D52-4414-F14F-B34A-8AA93CA49051}"/>
    <hyperlink ref="B101" r:id="rId100" display="https://www.worldometers.info/world-population/belarus-population/" xr:uid="{ED234389-C172-5146-9764-AB1602621AE1}"/>
    <hyperlink ref="B102" r:id="rId101" display="https://www.worldometers.info/world-population/switzerland-population/" xr:uid="{F470DB01-BCEC-9D43-8DC0-01E5043740BF}"/>
    <hyperlink ref="B103" r:id="rId102" display="https://www.worldometers.info/world-population/sierra-leone-population/" xr:uid="{63CEA42E-D033-8647-8261-7FB38CE24584}"/>
    <hyperlink ref="B104" r:id="rId103" display="https://www.worldometers.info/world-population/laos-population/" xr:uid="{89D3171F-63AD-954E-BA5B-BA9433A4830B}"/>
    <hyperlink ref="B105" r:id="rId104" display="https://www.worldometers.info/world-population/turkmenistan-population/" xr:uid="{712C3ED8-48A4-9E4C-B496-EEB79EEBD49C}"/>
    <hyperlink ref="B106" r:id="rId105" display="https://www.worldometers.info/world-population/libya-population/" xr:uid="{3F51B98C-F1F5-9742-9BF3-E46668D5023A}"/>
    <hyperlink ref="B107" r:id="rId106" display="https://www.worldometers.info/world-population/china-hong-kong-sar-population/" xr:uid="{975258B0-6F2D-A74C-AB7B-B1A5222E4EB9}"/>
    <hyperlink ref="B108" r:id="rId107" display="https://www.worldometers.info/world-population/kyrgyzstan-population/" xr:uid="{68DD93C0-73CC-6644-A617-B209F02F7024}"/>
    <hyperlink ref="B109" r:id="rId108" display="https://www.worldometers.info/world-population/paraguay-population/" xr:uid="{028C2E7D-278F-694F-9789-D29F5BC6B1E5}"/>
    <hyperlink ref="B110" r:id="rId109" display="https://www.worldometers.info/world-population/nicaragua-population/" xr:uid="{CD831E41-C83B-BC41-8BE4-0BDEC303F2B7}"/>
    <hyperlink ref="B111" r:id="rId110" display="https://www.worldometers.info/world-population/bulgaria-population/" xr:uid="{480CEA6C-6932-364D-B9AF-E6CF04001D5A}"/>
    <hyperlink ref="B112" r:id="rId111" display="https://www.worldometers.info/world-population/serbia-population/" xr:uid="{66F243EA-5E6E-5D44-B7A3-1EF001823858}"/>
    <hyperlink ref="B113" r:id="rId112" display="https://www.worldometers.info/world-population/congo-population/" xr:uid="{F84A004C-F7B3-C54D-A897-E990F633931A}"/>
    <hyperlink ref="B114" r:id="rId113" display="https://www.worldometers.info/world-population/el-salvador-population/" xr:uid="{0AAB43A6-4011-9F43-97D4-B141BDFBFAD7}"/>
    <hyperlink ref="B115" r:id="rId114" display="https://www.worldometers.info/world-population/denmark-population/" xr:uid="{83EBB420-4775-8942-9FC4-6C199EDBCB24}"/>
    <hyperlink ref="B116" r:id="rId115" display="https://www.worldometers.info/world-population/singapore-population/" xr:uid="{2AD7D6AC-3D48-2947-B5B8-5DF6027DA3E8}"/>
    <hyperlink ref="B117" r:id="rId116" display="https://www.worldometers.info/world-population/lebanon-population/" xr:uid="{F1829065-E8D3-A34E-A8E8-6EB391E7F7A2}"/>
    <hyperlink ref="B118" r:id="rId117" display="https://www.worldometers.info/world-population/liberia-population/" xr:uid="{0AE1925C-4526-6A4C-B1D5-5D2D0EE65037}"/>
    <hyperlink ref="B119" r:id="rId118" display="https://www.worldometers.info/world-population/finland-population/" xr:uid="{AD93F8D9-B9B5-AA4F-A0B5-3ECD69A56B05}"/>
    <hyperlink ref="B120" r:id="rId119" display="https://www.worldometers.info/world-population/norway-population/" xr:uid="{087F4128-CB46-914E-AB49-4CE36B77F862}"/>
    <hyperlink ref="B121" r:id="rId120" display="https://www.worldometers.info/world-population/state-of-palestine-population/" xr:uid="{58B53FAA-EAD3-7941-A1E6-935EB3C4222A}"/>
    <hyperlink ref="B122" r:id="rId121" display="https://www.worldometers.info/world-population/central-african-republic-population/" xr:uid="{53900CF7-1CB3-D342-8AE1-9F6995BF1F57}"/>
    <hyperlink ref="B123" r:id="rId122" display="https://www.worldometers.info/world-population/oman-population/" xr:uid="{BD60C4DA-8209-C945-9975-3DFE2C16878F}"/>
    <hyperlink ref="B124" r:id="rId123" display="https://www.worldometers.info/world-population/slovakia-population/" xr:uid="{FA6C71BF-3DFF-B347-8ED7-B5D076DDC735}"/>
    <hyperlink ref="B125" r:id="rId124" display="https://www.worldometers.info/world-population/mauritania-population/" xr:uid="{CF0CC0EC-39A5-B04D-B989-05617B42931F}"/>
    <hyperlink ref="B126" r:id="rId125" display="https://www.worldometers.info/world-population/ireland-population/" xr:uid="{1AA0B93F-DAED-E64B-A544-6415B8EEBA04}"/>
    <hyperlink ref="B127" r:id="rId126" display="https://www.worldometers.info/world-population/new-zealand-population/" xr:uid="{7BC11D83-7730-1749-8BC4-DB087ECBD3C7}"/>
    <hyperlink ref="B128" r:id="rId127" display="https://www.worldometers.info/world-population/costa-rica-population/" xr:uid="{1C21AD17-237E-F847-9DBA-404FE6015AAE}"/>
    <hyperlink ref="B129" r:id="rId128" display="https://www.worldometers.info/world-population/kuwait-population/" xr:uid="{A6D75C98-A3F2-7340-A709-C2C4A8633AE5}"/>
    <hyperlink ref="B130" r:id="rId129" display="https://www.worldometers.info/world-population/panama-population/" xr:uid="{6F953B97-7ECE-484B-80E7-95536D2FF98B}"/>
    <hyperlink ref="B131" r:id="rId130" display="https://www.worldometers.info/world-population/croatia-population/" xr:uid="{A43AFE3C-7CDA-C248-BCE3-15D685A6016F}"/>
    <hyperlink ref="B132" r:id="rId131" display="https://www.worldometers.info/world-population/georgia-population/" xr:uid="{7F95E3F7-EE8F-0643-8E1F-DCE1F00DF5B0}"/>
    <hyperlink ref="B133" r:id="rId132" display="https://www.worldometers.info/world-population/eritrea-population/" xr:uid="{B6FA437F-AB6A-FA48-9824-1785F72D5DE3}"/>
    <hyperlink ref="B134" r:id="rId133" display="https://www.worldometers.info/world-population/mongolia-population/" xr:uid="{D66A023E-B38D-3B46-8CED-A1AD02257743}"/>
    <hyperlink ref="B135" r:id="rId134" display="https://www.worldometers.info/world-population/uruguay-population/" xr:uid="{C953AE11-19B7-244F-AE3E-900A8BDFA73C}"/>
    <hyperlink ref="B136" r:id="rId135" display="https://www.worldometers.info/world-population/puerto-rico-population/" xr:uid="{6CF1F41F-B388-D742-AA9D-FFEC0C61B52E}"/>
    <hyperlink ref="B137" r:id="rId136" display="https://www.worldometers.info/world-population/bosnia-and-herzegovina-population/" xr:uid="{AD873852-B9CE-4A46-9381-84A803D72A19}"/>
    <hyperlink ref="B138" r:id="rId137" display="https://www.worldometers.info/world-population/qatar-population/" xr:uid="{55C76006-808F-3643-8EF0-F0FFE024FEB8}"/>
    <hyperlink ref="B139" r:id="rId138" display="https://www.worldometers.info/world-population/namibia-population/" xr:uid="{1D89C24A-CA9A-644D-9009-C212DA64C81F}"/>
    <hyperlink ref="B140" r:id="rId139" display="https://www.worldometers.info/world-population/moldova-population/" xr:uid="{808A3626-DE36-364C-8F30-40451D022948}"/>
    <hyperlink ref="B141" r:id="rId140" display="https://www.worldometers.info/world-population/armenia-population/" xr:uid="{51EFEFF3-7C4D-6D42-A493-4000A7D331BF}"/>
    <hyperlink ref="B142" r:id="rId141" display="https://www.worldometers.info/world-population/jamaica-population/" xr:uid="{EF23007A-0084-B34A-91C3-B7CD5CC50068}"/>
    <hyperlink ref="B143" r:id="rId142" display="https://www.worldometers.info/world-population/lithuania-population/" xr:uid="{9E5D32E7-16EE-AE4E-A82B-1AE0ED0AAAF0}"/>
    <hyperlink ref="B144" r:id="rId143" display="https://www.worldometers.info/world-population/gambia-population/" xr:uid="{7F0E7B75-E2CE-904C-8023-09ECEBD60062}"/>
    <hyperlink ref="B145" r:id="rId144" display="https://www.worldometers.info/world-population/albania-population/" xr:uid="{3F04400D-2B29-584B-93C1-F914EF255986}"/>
    <hyperlink ref="B146" r:id="rId145" display="https://www.worldometers.info/world-population/gabon-population/" xr:uid="{D805F16B-E4D1-F642-9C55-E1EBE424C67E}"/>
    <hyperlink ref="B147" r:id="rId146" display="https://www.worldometers.info/world-population/botswana-population/" xr:uid="{C386B3E0-2014-2147-803A-B9A3E57F782F}"/>
    <hyperlink ref="B148" r:id="rId147" display="https://www.worldometers.info/world-population/lesotho-population/" xr:uid="{377E959C-092B-0F4B-AD15-055279F7EBC1}"/>
    <hyperlink ref="B149" r:id="rId148" display="https://www.worldometers.info/world-population/guinea-bissau-population/" xr:uid="{C8263D91-C585-7F44-81A8-292C1179F704}"/>
    <hyperlink ref="B150" r:id="rId149" display="https://www.worldometers.info/world-population/slovenia-population/" xr:uid="{6BDB0754-CB1B-024A-A2EA-2404B70C8AC2}"/>
    <hyperlink ref="B151" r:id="rId150" display="https://www.worldometers.info/world-population/equatorial-guinea-population/" xr:uid="{7738B2B2-19D9-D54F-A7DA-7B7562B11255}"/>
    <hyperlink ref="B152" r:id="rId151" display="https://www.worldometers.info/world-population/latvia-population/" xr:uid="{7E2DAC75-C9FE-6947-837C-8FCA8AB600CB}"/>
    <hyperlink ref="B153" r:id="rId152" display="https://www.worldometers.info/world-population/north-macedonia-population/" xr:uid="{5290E49A-0F77-0D47-B4E3-76AFF5AD3357}"/>
    <hyperlink ref="B154" r:id="rId153" display="https://www.worldometers.info/world-population/bahrain-population/" xr:uid="{306535FA-835A-394C-A6BF-5D5191388185}"/>
    <hyperlink ref="B155" r:id="rId154" display="https://www.worldometers.info/world-population/trinidad-and-tobago-population/" xr:uid="{F0CD7396-AA6A-2542-96D5-71DCD1CCD33E}"/>
    <hyperlink ref="B156" r:id="rId155" display="https://www.worldometers.info/world-population/timor-leste-population/" xr:uid="{C4B5B9FA-2C67-614F-80F5-06916A6BADE5}"/>
    <hyperlink ref="B157" r:id="rId156" display="https://www.worldometers.info/world-population/cyprus-population/" xr:uid="{B1550DDA-EAEC-3B4B-98FF-5EE6188939AD}"/>
    <hyperlink ref="B158" r:id="rId157" display="https://www.worldometers.info/world-population/estonia-population/" xr:uid="{876EF0B8-6B2C-F049-979B-924A7A0E5253}"/>
    <hyperlink ref="B159" r:id="rId158" display="https://www.worldometers.info/world-population/mauritius-population/" xr:uid="{C8FE2BF5-F3DE-6A42-A8AB-B03FB7DD6E4B}"/>
    <hyperlink ref="B160" r:id="rId159" display="https://www.worldometers.info/world-population/swaziland-population/" xr:uid="{12054C2A-6B99-AE4F-B23D-C29D3F65EAB9}"/>
    <hyperlink ref="B161" r:id="rId160" display="https://www.worldometers.info/world-population/djibouti-population/" xr:uid="{4E052011-0DB7-A547-9D7C-8FC08526EEBF}"/>
    <hyperlink ref="B162" r:id="rId161" display="https://www.worldometers.info/world-population/fiji-population/" xr:uid="{F68BADAD-B5D5-824F-876B-ABFD74109EC4}"/>
    <hyperlink ref="B163" r:id="rId162" display="https://www.worldometers.info/world-population/comoros-population/" xr:uid="{A4F4A18B-4C20-7D4B-B351-0001D0026E16}"/>
    <hyperlink ref="B164" r:id="rId163" display="https://www.worldometers.info/world-population/reunion-population/" xr:uid="{6C2BF400-DE47-8F4F-9A3B-5B2AF87CBC7F}"/>
    <hyperlink ref="B165" r:id="rId164" display="https://www.worldometers.info/world-population/solomon-islands-population/" xr:uid="{C3AEA464-FBB6-B04C-81C7-42C707499970}"/>
    <hyperlink ref="B166" r:id="rId165" display="https://www.worldometers.info/world-population/guyana-population/" xr:uid="{DFB11B30-C5E5-4148-B1DA-188752BBAF80}"/>
    <hyperlink ref="B167" r:id="rId166" display="https://www.worldometers.info/world-population/bhutan-population/" xr:uid="{F496AE90-0D09-414E-91F3-58C581AC54EF}"/>
    <hyperlink ref="B168" r:id="rId167" display="https://www.worldometers.info/world-population/china-macao-sar-population/" xr:uid="{D7E36096-DA12-454E-9BB6-C164C46267E1}"/>
    <hyperlink ref="B169" r:id="rId168" display="https://www.worldometers.info/world-population/luxembourg-population/" xr:uid="{C8367C6D-8480-3049-9887-1AEA00040115}"/>
    <hyperlink ref="B170" r:id="rId169" display="https://www.worldometers.info/world-population/suriname-population/" xr:uid="{D7EF7C93-6C2F-EB4B-BBDB-48F5DA64206B}"/>
    <hyperlink ref="B171" r:id="rId170" display="https://www.worldometers.info/world-population/montenegro-population/" xr:uid="{3F056C7F-28DC-7E45-B131-A0644BECAD95}"/>
    <hyperlink ref="B172" r:id="rId171" display="https://www.worldometers.info/world-population/western-sahara-population/" xr:uid="{28AB8039-7237-DD43-903B-7FBDD44D104D}"/>
    <hyperlink ref="B173" r:id="rId172" display="https://www.worldometers.info/world-population/malta-population/" xr:uid="{2943D801-D1E7-BC4A-9D83-3BB8E8A5E357}"/>
    <hyperlink ref="B174" r:id="rId173" display="https://www.worldometers.info/world-population/maldives-population/" xr:uid="{721D6713-29A4-DC4B-A037-720F81E91ACC}"/>
    <hyperlink ref="B175" r:id="rId174" display="https://www.worldometers.info/world-population/cabo-verde-population/" xr:uid="{77276B90-2621-884D-90BD-95E2B2ADBC25}"/>
    <hyperlink ref="B176" r:id="rId175" display="https://www.worldometers.info/world-population/brunei-darussalam-population/" xr:uid="{05B98788-D815-B447-BC2E-AD666744BBB7}"/>
    <hyperlink ref="B177" r:id="rId176" display="https://www.worldometers.info/world-population/belize-population/" xr:uid="{7A4427A4-39B5-F148-9913-EC369F24CE58}"/>
    <hyperlink ref="B178" r:id="rId177" display="https://www.worldometers.info/world-population/bahamas-population/" xr:uid="{3921D5EF-53F8-4C45-8593-AEEFC6E56595}"/>
    <hyperlink ref="B179" r:id="rId178" display="https://www.worldometers.info/world-population/iceland-population/" xr:uid="{00125C02-63F5-6048-9188-5EE1EA42CFD1}"/>
    <hyperlink ref="B180" r:id="rId179" display="https://www.worldometers.info/world-population/guadeloupe-population/" xr:uid="{950B4DC8-5AB0-E04A-A961-DE8EF13C50FA}"/>
    <hyperlink ref="B181" r:id="rId180" display="https://www.worldometers.info/world-population/martinique-population/" xr:uid="{38BA83D5-3A2A-D241-8672-BDBFE2034A1F}"/>
    <hyperlink ref="B182" r:id="rId181" display="https://www.worldometers.info/world-population/mayotte-population/" xr:uid="{E2EB81F4-C7AB-0748-A6E9-CB95520CA118}"/>
    <hyperlink ref="B183" r:id="rId182" display="https://www.worldometers.info/world-population/vanuatu-population/" xr:uid="{0F2AC889-721C-F44C-A068-B40A573822D4}"/>
    <hyperlink ref="B184" r:id="rId183" display="https://www.worldometers.info/world-population/french-guiana-population/" xr:uid="{9C46B62A-AB15-624A-B18F-F69D164342F9}"/>
    <hyperlink ref="B185" r:id="rId184" display="https://www.worldometers.info/world-population/new-caledonia-population/" xr:uid="{AC635D71-4541-4441-9236-A7FCAE5821A8}"/>
    <hyperlink ref="B186" r:id="rId185" display="https://www.worldometers.info/world-population/barbados-population/" xr:uid="{13EB3C4F-4F50-D146-92B5-71FFE0B3E24E}"/>
    <hyperlink ref="B187" r:id="rId186" display="https://www.worldometers.info/world-population/french-polynesia-population/" xr:uid="{3F728312-3E9C-C647-BAEE-7CA042DA3570}"/>
    <hyperlink ref="B188" r:id="rId187" display="https://www.worldometers.info/world-population/sao-tome-and-principe-population/" xr:uid="{29529F4E-BD73-334D-BCB7-7B962D376EA6}"/>
    <hyperlink ref="B189" r:id="rId188" display="https://www.worldometers.info/world-population/samoa-population/" xr:uid="{E78662D1-7B5D-1846-BEDB-AC2F6F3BD1D8}"/>
    <hyperlink ref="B190" r:id="rId189" display="https://www.worldometers.info/world-population/curacao-population/" xr:uid="{6413165A-FDA8-EE45-9A01-5A824B77839D}"/>
    <hyperlink ref="B191" r:id="rId190" display="https://www.worldometers.info/world-population/saint-lucia-population/" xr:uid="{9647A6C1-0809-784F-89DD-EEDB0E37579E}"/>
    <hyperlink ref="B192" r:id="rId191" display="https://www.worldometers.info/world-population/guam-population/" xr:uid="{CC9CFD9B-D4DF-4440-920E-8F251CD8CD81}"/>
    <hyperlink ref="B193" r:id="rId192" display="https://www.worldometers.info/world-population/kiribati-population/" xr:uid="{BD0381CD-0BFE-2B4F-937A-80B3642FCD01}"/>
    <hyperlink ref="B194" r:id="rId193" display="https://www.worldometers.info/world-population/seychelles-population/" xr:uid="{07C0A703-97D0-6D43-9805-80A053FE730F}"/>
    <hyperlink ref="B195" r:id="rId194" display="https://www.worldometers.info/world-population/grenada-population/" xr:uid="{95F5720B-E75E-BF4F-B514-B6C05AEA68D5}"/>
    <hyperlink ref="B196" r:id="rId195" display="https://www.worldometers.info/world-population/micronesia-population/" xr:uid="{BA7AB5F6-EF47-AF4E-B040-3571D44CB63B}"/>
    <hyperlink ref="B197" r:id="rId196" display="https://www.worldometers.info/world-population/aruba-population/" xr:uid="{14BCE4BE-3D62-0645-8283-A2EBF92BFD1F}"/>
    <hyperlink ref="B198" r:id="rId197" display="https://www.worldometers.info/world-population/tonga-population/" xr:uid="{A1976CED-8405-CE46-B844-777439A2B4D7}"/>
    <hyperlink ref="B199" r:id="rId198" display="https://www.worldometers.info/world-population/saint-vincent-and-the-grenadines-population/" xr:uid="{EEF31794-EEBF-BF4B-B61B-EDB8D6CCB0FD}"/>
    <hyperlink ref="B200" r:id="rId199" display="https://www.worldometers.info/world-population/antigua-and-barbuda-population/" xr:uid="{1A9A0C3E-E873-C040-8846-B6B2707116EA}"/>
    <hyperlink ref="B201" r:id="rId200" display="https://www.worldometers.info/world-population/united-states-virgin-islands-population/" xr:uid="{2BA7DAEF-90D6-6A40-9CA0-5D1968EA5A4B}"/>
    <hyperlink ref="B202" r:id="rId201" display="https://www.worldometers.info/world-population/isle-of-man-population/" xr:uid="{D3B39204-E80F-2B46-BD0C-C923A437CF54}"/>
    <hyperlink ref="B203" r:id="rId202" display="https://www.worldometers.info/world-population/andorra-population/" xr:uid="{D3373D27-FA92-5442-82F9-87829E3DD30C}"/>
    <hyperlink ref="B204" r:id="rId203" display="https://www.worldometers.info/world-population/cayman-islands-population/" xr:uid="{43828215-23DD-B242-9DEF-61DDF8142DA0}"/>
    <hyperlink ref="B205" r:id="rId204" display="https://www.worldometers.info/world-population/dominica-population/" xr:uid="{843AEBB2-F216-A24B-AA50-7ABE594503BD}"/>
    <hyperlink ref="B206" r:id="rId205" display="https://www.worldometers.info/world-population/bermuda-population/" xr:uid="{0B5FAFD3-B7F2-E94F-B988-D15C7BC50425}"/>
    <hyperlink ref="B207" r:id="rId206" display="https://www.worldometers.info/world-population/faeroe-islands-population/" xr:uid="{B0C2CCF8-8156-5741-BDD0-7F28CDE0A492}"/>
    <hyperlink ref="B208" r:id="rId207" display="https://www.worldometers.info/world-population/greenland-population/" xr:uid="{2393BBBA-B6AE-C449-BF9A-BC040AE920A9}"/>
    <hyperlink ref="B209" r:id="rId208" display="https://www.worldometers.info/world-population/saint-kitts-and-nevis-population/" xr:uid="{D20923E1-3791-014A-902B-8C0B5B8B65CB}"/>
    <hyperlink ref="B210" r:id="rId209" display="https://www.worldometers.info/world-population/turks-and-caicos-islands-population/" xr:uid="{A10766A0-7C51-2D45-869B-6D7A155BB1B8}"/>
    <hyperlink ref="B211" r:id="rId210" display="https://www.worldometers.info/world-population/american-samoa-population/" xr:uid="{34298CE9-D6E4-824D-8543-91E2D99FB0CF}"/>
    <hyperlink ref="B212" r:id="rId211" display="https://www.worldometers.info/world-population/sint-maarten-population/" xr:uid="{654C2726-BCEB-4742-A739-48D98D2F302E}"/>
    <hyperlink ref="B213" r:id="rId212" display="https://www.worldometers.info/world-population/northern-mariana-islands-population/" xr:uid="{F1F8B4FF-519C-0041-A2C0-69036980BDDA}"/>
    <hyperlink ref="B214" r:id="rId213" display="https://www.worldometers.info/world-population/liechtenstein-population/" xr:uid="{CB035D00-7443-2643-B5DA-378383071C08}"/>
    <hyperlink ref="B215" r:id="rId214" display="https://www.worldometers.info/world-population/gibraltar-population/" xr:uid="{DE59DCA8-DDCA-0D44-8250-37C57FECA81D}"/>
    <hyperlink ref="B216" r:id="rId215" display="https://www.worldometers.info/world-population/british-virgin-islands-population/" xr:uid="{80A1737B-A145-5546-8F32-3F6C353DEA83}"/>
    <hyperlink ref="B217" r:id="rId216" display="https://www.worldometers.info/world-population/monaco-population/" xr:uid="{8133EC01-0F31-AF42-AEC8-2DE2F58DB6D1}"/>
    <hyperlink ref="B218" r:id="rId217" display="https://www.worldometers.info/world-population/marshall-islands-population/" xr:uid="{817269C6-819A-CB40-AF49-3BEFAE4FFA5A}"/>
    <hyperlink ref="B219" r:id="rId218" display="https://www.worldometers.info/world-population/san-marino-population/" xr:uid="{2CE93F5D-423F-6543-A775-23638318737D}"/>
    <hyperlink ref="B220" r:id="rId219" display="https://www.worldometers.info/world-population/caribbean-netherlands-population/" xr:uid="{D236534C-92BB-BB44-91FE-3B9D3CC7E33C}"/>
    <hyperlink ref="B221" r:id="rId220" display="https://www.worldometers.info/world-population/palau-population/" xr:uid="{EBD4F800-CB27-194C-A1BC-099FBAD445B2}"/>
    <hyperlink ref="B222" r:id="rId221" display="https://www.worldometers.info/world-population/anguilla-population/" xr:uid="{B91D0837-2FE4-074C-984D-FEC9642E926A}"/>
    <hyperlink ref="B223" r:id="rId222" display="https://www.worldometers.info/world-population/cook-islands-population/" xr:uid="{C97FEB34-4E71-7545-B42B-479F73E6C711}"/>
    <hyperlink ref="B224" r:id="rId223" display="https://www.worldometers.info/world-population/nauru-population/" xr:uid="{1308B935-A0FE-A941-82DB-68C151D69005}"/>
    <hyperlink ref="B225" r:id="rId224" display="https://www.worldometers.info/world-population/saint-barthelemy-population/" xr:uid="{47E8D651-CB69-FD49-A724-80840E4C2284}"/>
    <hyperlink ref="B226" r:id="rId225" display="https://www.worldometers.info/world-population/wallis-and-futuna-islands-population/" xr:uid="{84B90AA4-DEEE-874D-AE12-3885A660EB27}"/>
    <hyperlink ref="B227" r:id="rId226" display="https://www.worldometers.info/world-population/tuvalu-population/" xr:uid="{24B5AA58-3F57-6D42-8952-1DA96F16BA6F}"/>
    <hyperlink ref="B228" r:id="rId227" display="https://www.worldometers.info/world-population/saint-pierre-and-miquelon-population/" xr:uid="{88107B8D-29A1-954B-8AD7-8D23D7EE84C4}"/>
    <hyperlink ref="B229" r:id="rId228" display="https://www.worldometers.info/world-population/saint-helena-population/" xr:uid="{8EB7D074-EE67-6A42-A408-731315D075D5}"/>
    <hyperlink ref="B230" r:id="rId229" display="https://www.worldometers.info/world-population/montserrat-population/" xr:uid="{14C6EBFF-18C0-7A46-93EB-36F010293743}"/>
    <hyperlink ref="B231" r:id="rId230" display="https://www.worldometers.info/world-population/falkland-islands-malvinas-population/" xr:uid="{FD3559E4-3D58-9242-B83B-3B7D3A4A96A2}"/>
    <hyperlink ref="B232" r:id="rId231" display="https://www.worldometers.info/world-population/tokelau-population/" xr:uid="{D0BBF47F-2BA0-B249-AB17-8D667C98775B}"/>
    <hyperlink ref="B233" r:id="rId232" display="https://www.worldometers.info/world-population/niue-population/" xr:uid="{E58C6841-DAC6-4D41-9793-EC774B1AB2C2}"/>
    <hyperlink ref="B234" r:id="rId233" display="https://www.worldometers.info/world-population/holy-see-population/" xr:uid="{F494DAD0-1D49-804A-B2DB-B31E025E7A76}"/>
  </hyperlink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11908-4745-B24F-A894-44DB6AE717FB}">
  <sheetPr>
    <tabColor theme="5"/>
  </sheetPr>
  <dimension ref="A1:M234"/>
  <sheetViews>
    <sheetView workbookViewId="0">
      <pane ySplit="1" topLeftCell="A2" activePane="bottomLeft" state="frozen"/>
      <selection pane="bottomLeft" activeCell="D16" sqref="D16"/>
    </sheetView>
  </sheetViews>
  <sheetFormatPr baseColWidth="10" defaultRowHeight="16" x14ac:dyDescent="0.2"/>
  <cols>
    <col min="1" max="1" width="5.1640625" bestFit="1" customWidth="1"/>
    <col min="2" max="2" width="10.6640625" bestFit="1" customWidth="1"/>
    <col min="3" max="3" width="7.83203125" customWidth="1"/>
    <col min="4" max="4" width="21.83203125" bestFit="1" customWidth="1"/>
    <col min="5" max="5" width="21.1640625" bestFit="1" customWidth="1"/>
    <col min="6" max="6" width="20" bestFit="1" customWidth="1"/>
    <col min="7" max="7" width="22.5" bestFit="1" customWidth="1"/>
    <col min="8" max="8" width="21.1640625" bestFit="1" customWidth="1"/>
    <col min="9" max="9" width="17.6640625" bestFit="1" customWidth="1"/>
    <col min="12" max="12" width="22.83203125" bestFit="1" customWidth="1"/>
  </cols>
  <sheetData>
    <row r="1" spans="1:13" ht="19" x14ac:dyDescent="0.2">
      <c r="A1" s="42" t="s">
        <v>0</v>
      </c>
      <c r="B1" s="42" t="s">
        <v>1003</v>
      </c>
      <c r="C1" s="42" t="s">
        <v>1005</v>
      </c>
      <c r="D1" s="42" t="s">
        <v>1</v>
      </c>
      <c r="E1" s="42" t="s">
        <v>1349</v>
      </c>
      <c r="F1" s="42" t="s">
        <v>1350</v>
      </c>
      <c r="G1" s="42" t="s">
        <v>3</v>
      </c>
      <c r="H1" s="42" t="s">
        <v>1351</v>
      </c>
      <c r="I1" s="42" t="s">
        <v>2</v>
      </c>
      <c r="L1" s="24" t="s">
        <v>1003</v>
      </c>
      <c r="M1" s="24" t="s">
        <v>1005</v>
      </c>
    </row>
    <row r="2" spans="1:13" x14ac:dyDescent="0.2">
      <c r="A2" s="43">
        <v>1</v>
      </c>
      <c r="B2" s="43" t="s">
        <v>626</v>
      </c>
      <c r="C2" s="43" t="s">
        <v>503</v>
      </c>
      <c r="D2" s="43" t="s">
        <v>984</v>
      </c>
      <c r="E2" s="44">
        <v>17098242</v>
      </c>
      <c r="F2" s="44">
        <v>6601665</v>
      </c>
      <c r="G2" s="44">
        <v>16376870</v>
      </c>
      <c r="H2" s="44">
        <v>6323142</v>
      </c>
      <c r="I2" s="45">
        <v>0.11</v>
      </c>
      <c r="L2" t="str">
        <f>VLOOKUP(D2,Сountries!V:Z,2,0)</f>
        <v>Europe</v>
      </c>
      <c r="M2" t="str">
        <f>VLOOKUP(D2,Сountries!V:Z,5,0)</f>
        <v>🇷🇺</v>
      </c>
    </row>
    <row r="3" spans="1:13" x14ac:dyDescent="0.2">
      <c r="A3" s="43">
        <v>2</v>
      </c>
      <c r="B3" s="43" t="s">
        <v>625</v>
      </c>
      <c r="C3" s="43" t="s">
        <v>534</v>
      </c>
      <c r="D3" s="43" t="s">
        <v>41</v>
      </c>
      <c r="E3" s="44">
        <v>9984670</v>
      </c>
      <c r="F3" s="44">
        <v>3855101</v>
      </c>
      <c r="G3" s="44">
        <v>9093510</v>
      </c>
      <c r="H3" s="44">
        <v>3511022</v>
      </c>
      <c r="I3" s="45">
        <v>6.1100000000000002E-2</v>
      </c>
      <c r="L3" t="str">
        <f>VLOOKUP(D3,Сountries!V:Z,2,0)</f>
        <v>America</v>
      </c>
      <c r="M3" t="str">
        <f>VLOOKUP(D3,Сountries!V:Z,5,0)</f>
        <v>🇨🇦</v>
      </c>
    </row>
    <row r="4" spans="1:13" x14ac:dyDescent="0.2">
      <c r="A4" s="43">
        <v>3</v>
      </c>
      <c r="B4" s="43" t="s">
        <v>624</v>
      </c>
      <c r="C4" s="43" t="s">
        <v>496</v>
      </c>
      <c r="D4" s="43" t="s">
        <v>5</v>
      </c>
      <c r="E4" s="44">
        <v>9706961</v>
      </c>
      <c r="F4" s="44">
        <v>3747877</v>
      </c>
      <c r="G4" s="44">
        <v>9388211</v>
      </c>
      <c r="H4" s="44">
        <v>3624807</v>
      </c>
      <c r="I4" s="45">
        <v>6.3E-2</v>
      </c>
      <c r="L4" t="str">
        <f>VLOOKUP(D4,Сountries!V:Z,2,0)</f>
        <v>Asia</v>
      </c>
      <c r="M4" t="str">
        <f>VLOOKUP(D4,Сountries!V:Z,5,0)</f>
        <v>🇨🇳</v>
      </c>
    </row>
    <row r="5" spans="1:13" x14ac:dyDescent="0.2">
      <c r="A5" s="43">
        <v>4</v>
      </c>
      <c r="B5" s="43" t="s">
        <v>625</v>
      </c>
      <c r="C5" s="43" t="s">
        <v>497</v>
      </c>
      <c r="D5" s="43" t="s">
        <v>6</v>
      </c>
      <c r="E5" s="44">
        <v>9372610</v>
      </c>
      <c r="F5" s="44">
        <v>3618783</v>
      </c>
      <c r="G5" s="44">
        <v>9147420</v>
      </c>
      <c r="H5" s="44">
        <v>3531837</v>
      </c>
      <c r="I5" s="45">
        <v>6.1400000000000003E-2</v>
      </c>
      <c r="L5" t="str">
        <f>VLOOKUP(D5,Сountries!V:Z,2,0)</f>
        <v>America</v>
      </c>
      <c r="M5" t="str">
        <f>VLOOKUP(D5,Сountries!V:Z,5,0)</f>
        <v>🇺🇸</v>
      </c>
    </row>
    <row r="6" spans="1:13" x14ac:dyDescent="0.2">
      <c r="A6" s="43">
        <v>5</v>
      </c>
      <c r="B6" s="43" t="s">
        <v>625</v>
      </c>
      <c r="C6" s="43" t="s">
        <v>501</v>
      </c>
      <c r="D6" s="43" t="s">
        <v>10</v>
      </c>
      <c r="E6" s="44">
        <v>8515767</v>
      </c>
      <c r="F6" s="44">
        <v>3287955</v>
      </c>
      <c r="G6" s="44">
        <v>8358140</v>
      </c>
      <c r="H6" s="44">
        <v>3227095</v>
      </c>
      <c r="I6" s="45">
        <v>5.6099999999999997E-2</v>
      </c>
      <c r="L6" t="str">
        <f>VLOOKUP(D6,Сountries!V:Z,2,0)</f>
        <v>America</v>
      </c>
      <c r="M6" t="str">
        <f>VLOOKUP(D6,Сountries!V:Z,5,0)</f>
        <v>🇧🇷</v>
      </c>
    </row>
    <row r="7" spans="1:13" x14ac:dyDescent="0.2">
      <c r="A7" s="43">
        <v>6</v>
      </c>
      <c r="B7" s="43" t="s">
        <v>620</v>
      </c>
      <c r="C7" s="43" t="s">
        <v>597</v>
      </c>
      <c r="D7" s="43" t="s">
        <v>58</v>
      </c>
      <c r="E7" s="44">
        <v>7692024</v>
      </c>
      <c r="F7" s="44">
        <v>2969906</v>
      </c>
      <c r="G7" s="44">
        <v>7682300</v>
      </c>
      <c r="H7" s="44">
        <v>2966151</v>
      </c>
      <c r="I7" s="45">
        <v>5.16E-2</v>
      </c>
      <c r="L7" t="str">
        <f>VLOOKUP(D7,Сountries!V:Z,2,0)</f>
        <v>Australia and New Zealand</v>
      </c>
      <c r="M7" t="str">
        <f>VLOOKUP(D7,Сountries!V:Z,5,0)</f>
        <v>🇦🇺</v>
      </c>
    </row>
    <row r="8" spans="1:13" x14ac:dyDescent="0.2">
      <c r="A8" s="43">
        <v>7</v>
      </c>
      <c r="B8" s="43" t="s">
        <v>624</v>
      </c>
      <c r="C8" s="43" t="s">
        <v>495</v>
      </c>
      <c r="D8" s="43" t="s">
        <v>4</v>
      </c>
      <c r="E8" s="44">
        <v>3287590</v>
      </c>
      <c r="F8" s="44">
        <v>1269345</v>
      </c>
      <c r="G8" s="44">
        <v>2973190</v>
      </c>
      <c r="H8" s="44">
        <v>1147955</v>
      </c>
      <c r="I8" s="45">
        <v>0.02</v>
      </c>
      <c r="L8" t="str">
        <f>VLOOKUP(D8,Сountries!V:Z,2,0)</f>
        <v>Asia</v>
      </c>
      <c r="M8" t="str">
        <f>VLOOKUP(D8,Сountries!V:Z,5,0)</f>
        <v>🇮🇳</v>
      </c>
    </row>
    <row r="9" spans="1:13" x14ac:dyDescent="0.2">
      <c r="A9" s="43">
        <v>8</v>
      </c>
      <c r="B9" s="43" t="s">
        <v>625</v>
      </c>
      <c r="C9" s="43" t="s">
        <v>531</v>
      </c>
      <c r="D9" s="43" t="s">
        <v>38</v>
      </c>
      <c r="E9" s="44">
        <v>2780400</v>
      </c>
      <c r="F9" s="44">
        <v>1073518</v>
      </c>
      <c r="G9" s="44">
        <v>2736690</v>
      </c>
      <c r="H9" s="44">
        <v>1056641</v>
      </c>
      <c r="I9" s="45">
        <v>1.84E-2</v>
      </c>
      <c r="L9" t="str">
        <f>VLOOKUP(D9,Сountries!V:Z,2,0)</f>
        <v>America</v>
      </c>
      <c r="M9" t="str">
        <f>VLOOKUP(D9,Сountries!V:Z,5,0)</f>
        <v>🇦🇷</v>
      </c>
    </row>
    <row r="10" spans="1:13" x14ac:dyDescent="0.2">
      <c r="A10" s="43">
        <v>9</v>
      </c>
      <c r="B10" s="43" t="s">
        <v>624</v>
      </c>
      <c r="C10" s="43" t="s">
        <v>563</v>
      </c>
      <c r="D10" s="43" t="s">
        <v>67</v>
      </c>
      <c r="E10" s="44">
        <v>2724900</v>
      </c>
      <c r="F10" s="44">
        <v>1052089</v>
      </c>
      <c r="G10" s="44">
        <v>2699700</v>
      </c>
      <c r="H10" s="44">
        <v>1042360</v>
      </c>
      <c r="I10" s="45">
        <v>1.8100000000000002E-2</v>
      </c>
      <c r="L10" t="str">
        <f>VLOOKUP(D10,Сountries!V:Z,2,0)</f>
        <v>Asia</v>
      </c>
      <c r="M10" t="str">
        <f>VLOOKUP(D10,Сountries!V:Z,5,0)</f>
        <v>🇰🇿</v>
      </c>
    </row>
    <row r="11" spans="1:13" x14ac:dyDescent="0.2">
      <c r="A11" s="43">
        <v>10</v>
      </c>
      <c r="B11" s="43" t="s">
        <v>627</v>
      </c>
      <c r="C11" s="43" t="s">
        <v>529</v>
      </c>
      <c r="D11" s="43" t="s">
        <v>36</v>
      </c>
      <c r="E11" s="44">
        <v>2381741</v>
      </c>
      <c r="F11" s="44">
        <v>919595</v>
      </c>
      <c r="G11" s="44">
        <v>2381740</v>
      </c>
      <c r="H11" s="44">
        <v>919595</v>
      </c>
      <c r="I11" s="45">
        <v>1.6E-2</v>
      </c>
      <c r="L11" t="str">
        <f>VLOOKUP(D11,Сountries!V:Z,2,0)</f>
        <v>Africa</v>
      </c>
      <c r="M11" t="str">
        <f>VLOOKUP(D11,Сountries!V:Z,5,0)</f>
        <v>🇩🇿</v>
      </c>
    </row>
    <row r="12" spans="1:13" x14ac:dyDescent="0.2">
      <c r="A12" s="43">
        <v>11</v>
      </c>
      <c r="B12" s="43" t="s">
        <v>627</v>
      </c>
      <c r="C12" s="43" t="s">
        <v>509</v>
      </c>
      <c r="D12" s="43" t="s">
        <v>18</v>
      </c>
      <c r="E12" s="44">
        <v>2344858</v>
      </c>
      <c r="F12" s="44">
        <v>905354</v>
      </c>
      <c r="G12" s="44">
        <v>2267050</v>
      </c>
      <c r="H12" s="44">
        <v>875313</v>
      </c>
      <c r="I12" s="45">
        <v>1.52E-2</v>
      </c>
      <c r="L12" t="str">
        <f>VLOOKUP(D12,Сountries!V:Z,2,0)</f>
        <v>Africa</v>
      </c>
      <c r="M12" t="str">
        <f>VLOOKUP(D12,Сountries!V:Z,5,0)</f>
        <v>🇨🇩</v>
      </c>
    </row>
    <row r="13" spans="1:13" x14ac:dyDescent="0.2">
      <c r="A13" s="43">
        <v>12</v>
      </c>
      <c r="B13" s="43" t="s">
        <v>625</v>
      </c>
      <c r="C13" s="43" t="s">
        <v>1352</v>
      </c>
      <c r="D13" s="43" t="s">
        <v>434</v>
      </c>
      <c r="E13" s="44">
        <v>2166086</v>
      </c>
      <c r="F13" s="44">
        <v>836330</v>
      </c>
      <c r="G13" s="44">
        <v>410450</v>
      </c>
      <c r="H13" s="44">
        <v>158476</v>
      </c>
      <c r="I13" s="45">
        <v>2.8E-3</v>
      </c>
      <c r="L13" t="str">
        <f>VLOOKUP(D13,Сountries!V:Z,2,0)</f>
        <v>America</v>
      </c>
      <c r="M13" t="str">
        <f>VLOOKUP(D13,Сountries!V:Z,5,0)</f>
        <v>🇬🇱</v>
      </c>
    </row>
    <row r="14" spans="1:13" x14ac:dyDescent="0.2">
      <c r="A14" s="43">
        <v>13</v>
      </c>
      <c r="B14" s="43" t="s">
        <v>624</v>
      </c>
      <c r="C14" s="43" t="s">
        <v>551</v>
      </c>
      <c r="D14" s="43" t="s">
        <v>51</v>
      </c>
      <c r="E14" s="44">
        <v>2149690</v>
      </c>
      <c r="F14" s="44">
        <v>830000</v>
      </c>
      <c r="G14" s="44">
        <v>2149690</v>
      </c>
      <c r="H14" s="44">
        <v>830000</v>
      </c>
      <c r="I14" s="45">
        <v>1.44E-2</v>
      </c>
      <c r="L14" t="str">
        <f>VLOOKUP(D14,Сountries!V:Z,2,0)</f>
        <v>Asia</v>
      </c>
      <c r="M14" t="str">
        <f>VLOOKUP(D14,Сountries!V:Z,5,0)</f>
        <v>🇸🇦</v>
      </c>
    </row>
    <row r="15" spans="1:13" x14ac:dyDescent="0.2">
      <c r="A15" s="43">
        <v>14</v>
      </c>
      <c r="B15" s="43" t="s">
        <v>625</v>
      </c>
      <c r="C15" s="43" t="s">
        <v>505</v>
      </c>
      <c r="D15" s="43" t="s">
        <v>14</v>
      </c>
      <c r="E15" s="44">
        <v>1964375</v>
      </c>
      <c r="F15" s="44">
        <v>758449</v>
      </c>
      <c r="G15" s="44">
        <v>1943950</v>
      </c>
      <c r="H15" s="44">
        <v>750563</v>
      </c>
      <c r="I15" s="45">
        <v>1.3100000000000001E-2</v>
      </c>
      <c r="L15" t="str">
        <f>VLOOKUP(D15,Сountries!V:Z,2,0)</f>
        <v>America</v>
      </c>
      <c r="M15" t="str">
        <f>VLOOKUP(D15,Сountries!V:Z,5,0)</f>
        <v>🇲🇽</v>
      </c>
    </row>
    <row r="16" spans="1:13" x14ac:dyDescent="0.2">
      <c r="A16" s="43">
        <v>15</v>
      </c>
      <c r="B16" s="43" t="s">
        <v>624</v>
      </c>
      <c r="C16" s="43" t="s">
        <v>498</v>
      </c>
      <c r="D16" s="43" t="s">
        <v>7</v>
      </c>
      <c r="E16" s="44">
        <v>1904569</v>
      </c>
      <c r="F16" s="44">
        <v>735358</v>
      </c>
      <c r="G16" s="44">
        <v>1811570</v>
      </c>
      <c r="H16" s="44">
        <v>699451</v>
      </c>
      <c r="I16" s="45">
        <v>1.2200000000000001E-2</v>
      </c>
      <c r="L16" t="str">
        <f>VLOOKUP(D16,Сountries!V:Z,2,0)</f>
        <v>Asia</v>
      </c>
      <c r="M16" t="str">
        <f>VLOOKUP(D16,Сountries!V:Z,5,0)</f>
        <v>🇮🇩</v>
      </c>
    </row>
    <row r="17" spans="1:13" x14ac:dyDescent="0.2">
      <c r="A17" s="43">
        <v>16</v>
      </c>
      <c r="B17" s="43" t="s">
        <v>627</v>
      </c>
      <c r="C17" s="43" t="s">
        <v>526</v>
      </c>
      <c r="D17" s="43" t="s">
        <v>33</v>
      </c>
      <c r="E17" s="44">
        <v>1886068</v>
      </c>
      <c r="F17" s="44">
        <v>728215</v>
      </c>
      <c r="G17" s="44">
        <v>1765048</v>
      </c>
      <c r="H17" s="44">
        <v>681489</v>
      </c>
      <c r="I17" s="45">
        <v>1.1900000000000001E-2</v>
      </c>
      <c r="L17" t="str">
        <f>VLOOKUP(D17,Сountries!V:Z,2,0)</f>
        <v>Africa</v>
      </c>
      <c r="M17" t="str">
        <f>VLOOKUP(D17,Сountries!V:Z,5,0)</f>
        <v>🇸🇩</v>
      </c>
    </row>
    <row r="18" spans="1:13" x14ac:dyDescent="0.2">
      <c r="A18" s="43">
        <v>17</v>
      </c>
      <c r="B18" s="43" t="s">
        <v>627</v>
      </c>
      <c r="C18" s="43" t="s">
        <v>1232</v>
      </c>
      <c r="D18" s="43" t="s">
        <v>107</v>
      </c>
      <c r="E18" s="44">
        <v>1759540</v>
      </c>
      <c r="F18" s="44">
        <v>679362</v>
      </c>
      <c r="G18" s="44">
        <v>1759540</v>
      </c>
      <c r="H18" s="44">
        <v>679362</v>
      </c>
      <c r="I18" s="45">
        <v>1.18E-2</v>
      </c>
      <c r="L18" t="str">
        <f>VLOOKUP(D18,Сountries!V:Z,2,0)</f>
        <v>Africa</v>
      </c>
      <c r="M18" t="str">
        <f>VLOOKUP(D18,Сountries!V:Z,5,0)</f>
        <v>🇱🇾</v>
      </c>
    </row>
    <row r="19" spans="1:13" x14ac:dyDescent="0.2">
      <c r="A19" s="43">
        <v>18</v>
      </c>
      <c r="B19" s="43" t="s">
        <v>624</v>
      </c>
      <c r="C19" s="43" t="s">
        <v>511</v>
      </c>
      <c r="D19" s="43" t="s">
        <v>20</v>
      </c>
      <c r="E19" s="44">
        <v>1648195</v>
      </c>
      <c r="F19" s="44">
        <v>636371</v>
      </c>
      <c r="G19" s="44">
        <v>1628550</v>
      </c>
      <c r="H19" s="44">
        <v>628786</v>
      </c>
      <c r="I19" s="45">
        <v>1.09E-2</v>
      </c>
      <c r="L19" t="str">
        <f>VLOOKUP(D19,Сountries!V:Z,2,0)</f>
        <v>Asia</v>
      </c>
      <c r="M19" t="str">
        <f>VLOOKUP(D19,Сountries!V:Z,5,0)</f>
        <v>🇮🇷</v>
      </c>
    </row>
    <row r="20" spans="1:13" x14ac:dyDescent="0.2">
      <c r="A20" s="43">
        <v>19</v>
      </c>
      <c r="B20" s="43" t="s">
        <v>624</v>
      </c>
      <c r="C20" s="43" t="s">
        <v>1257</v>
      </c>
      <c r="D20" s="43" t="s">
        <v>134</v>
      </c>
      <c r="E20" s="44">
        <v>1564110</v>
      </c>
      <c r="F20" s="44">
        <v>603906</v>
      </c>
      <c r="G20" s="44">
        <v>1553560</v>
      </c>
      <c r="H20" s="44">
        <v>599833</v>
      </c>
      <c r="I20" s="45">
        <v>1.04E-2</v>
      </c>
      <c r="L20" t="str">
        <f>VLOOKUP(D20,Сountries!V:Z,2,0)</f>
        <v>Asia</v>
      </c>
      <c r="M20" t="str">
        <f>VLOOKUP(D20,Сountries!V:Z,5,0)</f>
        <v>🇲🇳</v>
      </c>
    </row>
    <row r="21" spans="1:13" x14ac:dyDescent="0.2">
      <c r="A21" s="43">
        <v>20</v>
      </c>
      <c r="B21" s="43" t="s">
        <v>625</v>
      </c>
      <c r="C21" s="43" t="s">
        <v>550</v>
      </c>
      <c r="D21" s="43" t="s">
        <v>50</v>
      </c>
      <c r="E21" s="44">
        <v>1285216</v>
      </c>
      <c r="F21" s="44">
        <v>496224</v>
      </c>
      <c r="G21" s="44">
        <v>1280000</v>
      </c>
      <c r="H21" s="44">
        <v>494211</v>
      </c>
      <c r="I21" s="45">
        <v>8.6E-3</v>
      </c>
      <c r="L21" t="str">
        <f>VLOOKUP(D21,Сountries!V:Z,2,0)</f>
        <v>America</v>
      </c>
      <c r="M21" t="str">
        <f>VLOOKUP(D21,Сountries!V:Z,5,0)</f>
        <v>🇵🇪</v>
      </c>
    </row>
    <row r="22" spans="1:13" x14ac:dyDescent="0.2">
      <c r="A22" s="43">
        <v>21</v>
      </c>
      <c r="B22" s="43" t="s">
        <v>627</v>
      </c>
      <c r="C22" s="43" t="s">
        <v>562</v>
      </c>
      <c r="D22" s="43" t="s">
        <v>66</v>
      </c>
      <c r="E22" s="44">
        <v>1284000</v>
      </c>
      <c r="F22" s="44">
        <v>495755</v>
      </c>
      <c r="G22" s="44">
        <v>1259200</v>
      </c>
      <c r="H22" s="44">
        <v>486180</v>
      </c>
      <c r="I22" s="45">
        <v>8.5000000000000006E-3</v>
      </c>
      <c r="L22" t="str">
        <f>VLOOKUP(D22,Сountries!V:Z,2,0)</f>
        <v>Africa</v>
      </c>
      <c r="M22" t="str">
        <f>VLOOKUP(D22,Сountries!V:Z,5,0)</f>
        <v>🇹🇩</v>
      </c>
    </row>
    <row r="23" spans="1:13" x14ac:dyDescent="0.2">
      <c r="A23" s="43">
        <v>22</v>
      </c>
      <c r="B23" s="43" t="s">
        <v>627</v>
      </c>
      <c r="C23" s="43" t="s">
        <v>556</v>
      </c>
      <c r="D23" s="43" t="s">
        <v>57</v>
      </c>
      <c r="E23" s="44">
        <v>1267000</v>
      </c>
      <c r="F23" s="44">
        <v>489191</v>
      </c>
      <c r="G23" s="44">
        <v>1266700</v>
      </c>
      <c r="H23" s="44">
        <v>489075</v>
      </c>
      <c r="I23" s="45">
        <v>8.5000000000000006E-3</v>
      </c>
      <c r="L23" t="str">
        <f>VLOOKUP(D23,Сountries!V:Z,2,0)</f>
        <v>Africa</v>
      </c>
      <c r="M23" t="str">
        <f>VLOOKUP(D23,Сountries!V:Z,5,0)</f>
        <v>🇳🇪</v>
      </c>
    </row>
    <row r="24" spans="1:13" x14ac:dyDescent="0.2">
      <c r="A24" s="43">
        <v>23</v>
      </c>
      <c r="B24" s="43" t="s">
        <v>627</v>
      </c>
      <c r="C24" s="43" t="s">
        <v>535</v>
      </c>
      <c r="D24" s="43" t="s">
        <v>42</v>
      </c>
      <c r="E24" s="44">
        <v>1246700</v>
      </c>
      <c r="F24" s="44">
        <v>481353</v>
      </c>
      <c r="G24" s="44">
        <v>1246700</v>
      </c>
      <c r="H24" s="44">
        <v>481353</v>
      </c>
      <c r="I24" s="45">
        <v>8.3999999999999995E-3</v>
      </c>
      <c r="L24" t="str">
        <f>VLOOKUP(D24,Сountries!V:Z,2,0)</f>
        <v>Africa</v>
      </c>
      <c r="M24" t="str">
        <f>VLOOKUP(D24,Сountries!V:Z,5,0)</f>
        <v>🇦🇴</v>
      </c>
    </row>
    <row r="25" spans="1:13" x14ac:dyDescent="0.2">
      <c r="A25" s="43">
        <v>24</v>
      </c>
      <c r="B25" s="43" t="s">
        <v>627</v>
      </c>
      <c r="C25" s="43" t="s">
        <v>543</v>
      </c>
      <c r="D25" s="43" t="s">
        <v>61</v>
      </c>
      <c r="E25" s="44">
        <v>1240192</v>
      </c>
      <c r="F25" s="44">
        <v>478841</v>
      </c>
      <c r="G25" s="44">
        <v>1220190</v>
      </c>
      <c r="H25" s="44">
        <v>471118</v>
      </c>
      <c r="I25" s="45">
        <v>8.2000000000000007E-3</v>
      </c>
      <c r="L25" t="str">
        <f>VLOOKUP(D25,Сountries!V:Z,2,0)</f>
        <v>Africa</v>
      </c>
      <c r="M25" t="str">
        <f>VLOOKUP(D25,Сountries!V:Z,5,0)</f>
        <v>🇲🇱</v>
      </c>
    </row>
    <row r="26" spans="1:13" x14ac:dyDescent="0.2">
      <c r="A26" s="43">
        <v>25</v>
      </c>
      <c r="B26" s="43" t="s">
        <v>627</v>
      </c>
      <c r="C26" s="43" t="s">
        <v>520</v>
      </c>
      <c r="D26" s="43" t="s">
        <v>27</v>
      </c>
      <c r="E26" s="44">
        <v>1221037</v>
      </c>
      <c r="F26" s="44">
        <v>471445</v>
      </c>
      <c r="G26" s="44">
        <v>1213090</v>
      </c>
      <c r="H26" s="44">
        <v>468376</v>
      </c>
      <c r="I26" s="45">
        <v>8.0999999999999996E-3</v>
      </c>
      <c r="L26" t="str">
        <f>VLOOKUP(D26,Сountries!V:Z,2,0)</f>
        <v>Africa</v>
      </c>
      <c r="M26" t="str">
        <f>VLOOKUP(D26,Сountries!V:Z,5,0)</f>
        <v>🇿🇦</v>
      </c>
    </row>
    <row r="27" spans="1:13" x14ac:dyDescent="0.2">
      <c r="A27" s="43">
        <v>26</v>
      </c>
      <c r="B27" s="43" t="s">
        <v>625</v>
      </c>
      <c r="C27" s="43" t="s">
        <v>523</v>
      </c>
      <c r="D27" s="43" t="s">
        <v>31</v>
      </c>
      <c r="E27" s="44">
        <v>1141748</v>
      </c>
      <c r="F27" s="44">
        <v>440831</v>
      </c>
      <c r="G27" s="44">
        <v>1109500</v>
      </c>
      <c r="H27" s="44">
        <v>428380</v>
      </c>
      <c r="I27" s="45">
        <v>7.4000000000000003E-3</v>
      </c>
      <c r="L27" t="str">
        <f>VLOOKUP(D27,Сountries!V:Z,2,0)</f>
        <v>America</v>
      </c>
      <c r="M27" t="str">
        <f>VLOOKUP(D27,Сountries!V:Z,5,0)</f>
        <v>🇨🇴</v>
      </c>
    </row>
    <row r="28" spans="1:13" x14ac:dyDescent="0.2">
      <c r="A28" s="43">
        <v>27</v>
      </c>
      <c r="B28" s="43" t="s">
        <v>627</v>
      </c>
      <c r="C28" s="43" t="s">
        <v>504</v>
      </c>
      <c r="D28" s="43" t="s">
        <v>13</v>
      </c>
      <c r="E28" s="44">
        <v>1104300</v>
      </c>
      <c r="F28" s="44">
        <v>426372</v>
      </c>
      <c r="G28" s="44">
        <v>1000000</v>
      </c>
      <c r="H28" s="44">
        <v>386102</v>
      </c>
      <c r="I28" s="45">
        <v>6.7000000000000002E-3</v>
      </c>
      <c r="L28" t="str">
        <f>VLOOKUP(D28,Сountries!V:Z,2,0)</f>
        <v>Africa</v>
      </c>
      <c r="M28" t="str">
        <f>VLOOKUP(D28,Сountries!V:Z,5,0)</f>
        <v>🇪🇹</v>
      </c>
    </row>
    <row r="29" spans="1:13" x14ac:dyDescent="0.2">
      <c r="A29" s="43">
        <v>28</v>
      </c>
      <c r="B29" s="43" t="s">
        <v>625</v>
      </c>
      <c r="C29" s="43" t="s">
        <v>577</v>
      </c>
      <c r="D29" s="43" t="s">
        <v>81</v>
      </c>
      <c r="E29" s="44">
        <v>1098581</v>
      </c>
      <c r="F29" s="44">
        <v>424164</v>
      </c>
      <c r="G29" s="44">
        <v>1083300</v>
      </c>
      <c r="H29" s="44">
        <v>418264</v>
      </c>
      <c r="I29" s="45">
        <v>7.3000000000000001E-3</v>
      </c>
      <c r="L29" t="str">
        <f>VLOOKUP(D29,Сountries!V:Z,2,0)</f>
        <v>America</v>
      </c>
      <c r="M29" t="str">
        <f>VLOOKUP(D29,Сountries!V:Z,5,0)</f>
        <v>🇧🇴</v>
      </c>
    </row>
    <row r="30" spans="1:13" x14ac:dyDescent="0.2">
      <c r="A30" s="43">
        <v>29</v>
      </c>
      <c r="B30" s="43" t="s">
        <v>627</v>
      </c>
      <c r="C30" s="43" t="s">
        <v>546</v>
      </c>
      <c r="D30" s="43" t="s">
        <v>125</v>
      </c>
      <c r="E30" s="44">
        <v>1030700</v>
      </c>
      <c r="F30" s="44">
        <v>397955</v>
      </c>
      <c r="G30" s="44">
        <v>1030700</v>
      </c>
      <c r="H30" s="44">
        <v>397955</v>
      </c>
      <c r="I30" s="45">
        <v>6.8999999999999999E-3</v>
      </c>
      <c r="L30" t="str">
        <f>VLOOKUP(D30,Сountries!V:Z,2,0)</f>
        <v>Africa</v>
      </c>
      <c r="M30" t="str">
        <f>VLOOKUP(D30,Сountries!V:Z,5,0)</f>
        <v>🇲🇷</v>
      </c>
    </row>
    <row r="31" spans="1:13" x14ac:dyDescent="0.2">
      <c r="A31" s="43">
        <v>30</v>
      </c>
      <c r="B31" s="43" t="s">
        <v>627</v>
      </c>
      <c r="C31" s="43" t="s">
        <v>507</v>
      </c>
      <c r="D31" s="43" t="s">
        <v>16</v>
      </c>
      <c r="E31" s="44">
        <v>1002450</v>
      </c>
      <c r="F31" s="44">
        <v>387048</v>
      </c>
      <c r="G31" s="44">
        <v>995450</v>
      </c>
      <c r="H31" s="44">
        <v>384345</v>
      </c>
      <c r="I31" s="45">
        <v>6.7000000000000002E-3</v>
      </c>
      <c r="L31" t="str">
        <f>VLOOKUP(D31,Сountries!V:Z,2,0)</f>
        <v>Africa</v>
      </c>
      <c r="M31" t="str">
        <f>VLOOKUP(D31,Сountries!V:Z,5,0)</f>
        <v>🇪🇬</v>
      </c>
    </row>
    <row r="32" spans="1:13" x14ac:dyDescent="0.2">
      <c r="A32" s="43">
        <v>31</v>
      </c>
      <c r="B32" s="43" t="s">
        <v>627</v>
      </c>
      <c r="C32" s="43" t="s">
        <v>515</v>
      </c>
      <c r="D32" s="43" t="s">
        <v>24</v>
      </c>
      <c r="E32" s="44">
        <v>945087</v>
      </c>
      <c r="F32" s="44">
        <v>364900</v>
      </c>
      <c r="G32" s="44">
        <v>885800</v>
      </c>
      <c r="H32" s="44">
        <v>342009</v>
      </c>
      <c r="I32" s="45">
        <v>5.8999999999999999E-3</v>
      </c>
      <c r="L32" t="str">
        <f>VLOOKUP(D32,Сountries!V:Z,2,0)</f>
        <v>Africa</v>
      </c>
      <c r="M32" t="str">
        <f>VLOOKUP(D32,Сountries!V:Z,5,0)</f>
        <v>🇹🇿</v>
      </c>
    </row>
    <row r="33" spans="1:13" x14ac:dyDescent="0.2">
      <c r="A33" s="43">
        <v>32</v>
      </c>
      <c r="B33" s="43" t="s">
        <v>627</v>
      </c>
      <c r="C33" s="43" t="s">
        <v>500</v>
      </c>
      <c r="D33" s="43" t="s">
        <v>9</v>
      </c>
      <c r="E33" s="44">
        <v>923768</v>
      </c>
      <c r="F33" s="44">
        <v>356669</v>
      </c>
      <c r="G33" s="44">
        <v>910770</v>
      </c>
      <c r="H33" s="44">
        <v>351650</v>
      </c>
      <c r="I33" s="45">
        <v>6.1000000000000004E-3</v>
      </c>
      <c r="L33" t="str">
        <f>VLOOKUP(D33,Сountries!V:Z,2,0)</f>
        <v>Africa</v>
      </c>
      <c r="M33" t="str">
        <f>VLOOKUP(D33,Сountries!V:Z,5,0)</f>
        <v>🇳🇬</v>
      </c>
    </row>
    <row r="34" spans="1:13" x14ac:dyDescent="0.2">
      <c r="A34" s="43">
        <v>33</v>
      </c>
      <c r="B34" s="43" t="s">
        <v>625</v>
      </c>
      <c r="C34" s="43" t="s">
        <v>555</v>
      </c>
      <c r="D34" s="43" t="s">
        <v>56</v>
      </c>
      <c r="E34" s="44">
        <v>916445</v>
      </c>
      <c r="F34" s="44">
        <v>353841</v>
      </c>
      <c r="G34" s="44">
        <v>882050</v>
      </c>
      <c r="H34" s="44">
        <v>340561</v>
      </c>
      <c r="I34" s="45">
        <v>5.8999999999999999E-3</v>
      </c>
      <c r="L34" t="str">
        <f>VLOOKUP(D34,Сountries!V:Z,2,0)</f>
        <v>America</v>
      </c>
      <c r="M34" t="str">
        <f>VLOOKUP(D34,Сountries!V:Z,5,0)</f>
        <v>🇻🇪</v>
      </c>
    </row>
    <row r="35" spans="1:13" x14ac:dyDescent="0.2">
      <c r="A35" s="43">
        <v>34</v>
      </c>
      <c r="B35" s="43" t="s">
        <v>624</v>
      </c>
      <c r="C35" s="43" t="s">
        <v>499</v>
      </c>
      <c r="D35" s="43" t="s">
        <v>8</v>
      </c>
      <c r="E35" s="44">
        <v>881912</v>
      </c>
      <c r="F35" s="44">
        <v>340508</v>
      </c>
      <c r="G35" s="44">
        <v>770880</v>
      </c>
      <c r="H35" s="44">
        <v>297638</v>
      </c>
      <c r="I35" s="45">
        <v>5.1999999999999998E-3</v>
      </c>
      <c r="L35" t="str">
        <f>VLOOKUP(D35,Сountries!V:Z,2,0)</f>
        <v>Asia</v>
      </c>
      <c r="M35" t="str">
        <f>VLOOKUP(D35,Сountries!V:Z,5,0)</f>
        <v>🇵🇰</v>
      </c>
    </row>
    <row r="36" spans="1:13" x14ac:dyDescent="0.2">
      <c r="A36" s="43">
        <v>35</v>
      </c>
      <c r="B36" s="43" t="s">
        <v>627</v>
      </c>
      <c r="C36" s="43" t="s">
        <v>1260</v>
      </c>
      <c r="D36" s="43" t="s">
        <v>138</v>
      </c>
      <c r="E36" s="44">
        <v>825615</v>
      </c>
      <c r="F36" s="44">
        <v>318772</v>
      </c>
      <c r="G36" s="44">
        <v>823290</v>
      </c>
      <c r="H36" s="44">
        <v>317874</v>
      </c>
      <c r="I36" s="45">
        <v>5.4999999999999997E-3</v>
      </c>
      <c r="L36" t="str">
        <f>VLOOKUP(D36,Сountries!V:Z,2,0)</f>
        <v>Africa</v>
      </c>
      <c r="M36" t="str">
        <f>VLOOKUP(D36,Сountries!V:Z,5,0)</f>
        <v>🇳🇦</v>
      </c>
    </row>
    <row r="37" spans="1:13" x14ac:dyDescent="0.2">
      <c r="A37" s="43">
        <v>36</v>
      </c>
      <c r="B37" s="43" t="s">
        <v>627</v>
      </c>
      <c r="C37" s="43" t="s">
        <v>548</v>
      </c>
      <c r="D37" s="43" t="s">
        <v>48</v>
      </c>
      <c r="E37" s="44">
        <v>801590</v>
      </c>
      <c r="F37" s="44">
        <v>309496</v>
      </c>
      <c r="G37" s="44">
        <v>786380</v>
      </c>
      <c r="H37" s="44">
        <v>303623</v>
      </c>
      <c r="I37" s="45">
        <v>5.3E-3</v>
      </c>
      <c r="L37" t="str">
        <f>VLOOKUP(D37,Сountries!V:Z,2,0)</f>
        <v>Africa</v>
      </c>
      <c r="M37" t="str">
        <f>VLOOKUP(D37,Сountries!V:Z,5,0)</f>
        <v>🇲🇿</v>
      </c>
    </row>
    <row r="38" spans="1:13" x14ac:dyDescent="0.2">
      <c r="A38" s="43">
        <v>37</v>
      </c>
      <c r="B38" s="43" t="s">
        <v>624</v>
      </c>
      <c r="C38" s="43" t="s">
        <v>512</v>
      </c>
      <c r="D38" s="43" t="s">
        <v>21</v>
      </c>
      <c r="E38" s="44">
        <v>783562</v>
      </c>
      <c r="F38" s="44">
        <v>302535</v>
      </c>
      <c r="G38" s="44">
        <v>769630</v>
      </c>
      <c r="H38" s="44">
        <v>297156</v>
      </c>
      <c r="I38" s="45">
        <v>5.1999999999999998E-3</v>
      </c>
      <c r="L38" t="str">
        <f>VLOOKUP(D38,Сountries!V:Z,2,0)</f>
        <v>Asia</v>
      </c>
      <c r="M38" t="str">
        <f>VLOOKUP(D38,Сountries!V:Z,5,0)</f>
        <v>🇹🇷</v>
      </c>
    </row>
    <row r="39" spans="1:13" x14ac:dyDescent="0.2">
      <c r="A39" s="43">
        <v>38</v>
      </c>
      <c r="B39" s="43" t="s">
        <v>625</v>
      </c>
      <c r="C39" s="43" t="s">
        <v>564</v>
      </c>
      <c r="D39" s="43" t="s">
        <v>68</v>
      </c>
      <c r="E39" s="44">
        <v>756102</v>
      </c>
      <c r="F39" s="44">
        <v>291932</v>
      </c>
      <c r="G39" s="44">
        <v>743532</v>
      </c>
      <c r="H39" s="44">
        <v>287079</v>
      </c>
      <c r="I39" s="45">
        <v>5.0000000000000001E-3</v>
      </c>
      <c r="L39" t="str">
        <f>VLOOKUP(D39,Сountries!V:Z,2,0)</f>
        <v>America</v>
      </c>
      <c r="M39" t="str">
        <f>VLOOKUP(D39,Сountries!V:Z,5,0)</f>
        <v>🇨🇱</v>
      </c>
    </row>
    <row r="40" spans="1:13" x14ac:dyDescent="0.2">
      <c r="A40" s="43">
        <v>39</v>
      </c>
      <c r="B40" s="43" t="s">
        <v>627</v>
      </c>
      <c r="C40" s="43" t="s">
        <v>561</v>
      </c>
      <c r="D40" s="43" t="s">
        <v>65</v>
      </c>
      <c r="E40" s="44">
        <v>752612</v>
      </c>
      <c r="F40" s="44">
        <v>290585</v>
      </c>
      <c r="G40" s="44">
        <v>743390</v>
      </c>
      <c r="H40" s="44">
        <v>287024</v>
      </c>
      <c r="I40" s="45">
        <v>5.0000000000000001E-3</v>
      </c>
      <c r="L40" t="str">
        <f>VLOOKUP(D40,Сountries!V:Z,2,0)</f>
        <v>Africa</v>
      </c>
      <c r="M40" t="str">
        <f>VLOOKUP(D40,Сountries!V:Z,5,0)</f>
        <v>🇿🇲</v>
      </c>
    </row>
    <row r="41" spans="1:13" x14ac:dyDescent="0.2">
      <c r="A41" s="43">
        <v>40</v>
      </c>
      <c r="B41" s="43" t="s">
        <v>624</v>
      </c>
      <c r="C41" s="43" t="s">
        <v>505</v>
      </c>
      <c r="D41" s="43" t="s">
        <v>30</v>
      </c>
      <c r="E41" s="44">
        <v>676578</v>
      </c>
      <c r="F41" s="44">
        <v>261228</v>
      </c>
      <c r="G41" s="44">
        <v>653290</v>
      </c>
      <c r="H41" s="44">
        <v>252237</v>
      </c>
      <c r="I41" s="45">
        <v>4.4000000000000003E-3</v>
      </c>
      <c r="L41" t="str">
        <f>VLOOKUP(D41,Сountries!V:Z,2,0)</f>
        <v>Asia</v>
      </c>
      <c r="M41" t="str">
        <f>VLOOKUP(D41,Сountries!V:Z,5,0)</f>
        <v>🇲🇽</v>
      </c>
    </row>
    <row r="42" spans="1:13" x14ac:dyDescent="0.2">
      <c r="A42" s="43">
        <v>41</v>
      </c>
      <c r="B42" s="43" t="s">
        <v>624</v>
      </c>
      <c r="C42" s="43" t="s">
        <v>532</v>
      </c>
      <c r="D42" s="43" t="s">
        <v>39</v>
      </c>
      <c r="E42" s="44">
        <v>652230</v>
      </c>
      <c r="F42" s="44">
        <v>251827</v>
      </c>
      <c r="G42" s="44">
        <v>652860</v>
      </c>
      <c r="H42" s="44">
        <v>252071</v>
      </c>
      <c r="I42" s="45">
        <v>4.4000000000000003E-3</v>
      </c>
      <c r="L42" t="str">
        <f>VLOOKUP(D42,Сountries!V:Z,2,0)</f>
        <v>Asia</v>
      </c>
      <c r="M42" t="str">
        <f>VLOOKUP(D42,Сountries!V:Z,5,0)</f>
        <v>🇦🇫</v>
      </c>
    </row>
    <row r="43" spans="1:13" x14ac:dyDescent="0.2">
      <c r="A43" s="43">
        <v>42</v>
      </c>
      <c r="B43" s="43" t="s">
        <v>627</v>
      </c>
      <c r="C43" s="43" t="s">
        <v>565</v>
      </c>
      <c r="D43" s="43" t="s">
        <v>69</v>
      </c>
      <c r="E43" s="44">
        <v>637657</v>
      </c>
      <c r="F43" s="44">
        <v>246201</v>
      </c>
      <c r="G43" s="44">
        <v>627340</v>
      </c>
      <c r="H43" s="44">
        <v>242217</v>
      </c>
      <c r="I43" s="45">
        <v>4.1999999999999997E-3</v>
      </c>
      <c r="L43" t="str">
        <f>VLOOKUP(D43,Сountries!V:Z,2,0)</f>
        <v>Africa</v>
      </c>
      <c r="M43" t="str">
        <f>VLOOKUP(D43,Сountries!V:Z,5,0)</f>
        <v>🇸🇴</v>
      </c>
    </row>
    <row r="44" spans="1:13" x14ac:dyDescent="0.2">
      <c r="A44" s="43">
        <v>43</v>
      </c>
      <c r="B44" s="43" t="s">
        <v>627</v>
      </c>
      <c r="C44" s="43" t="s">
        <v>1246</v>
      </c>
      <c r="D44" s="43" t="s">
        <v>122</v>
      </c>
      <c r="E44" s="44">
        <v>622984</v>
      </c>
      <c r="F44" s="44">
        <v>240535</v>
      </c>
      <c r="G44" s="44">
        <v>622980</v>
      </c>
      <c r="H44" s="44">
        <v>240534</v>
      </c>
      <c r="I44" s="45">
        <v>4.1999999999999997E-3</v>
      </c>
      <c r="L44" t="str">
        <f>VLOOKUP(D44,Сountries!V:Z,2,0)</f>
        <v>Africa</v>
      </c>
      <c r="M44" t="str">
        <f>VLOOKUP(D44,Сountries!V:Z,5,0)</f>
        <v>🇨🇫</v>
      </c>
    </row>
    <row r="45" spans="1:13" x14ac:dyDescent="0.2">
      <c r="A45" s="43">
        <v>44</v>
      </c>
      <c r="B45" s="43" t="s">
        <v>627</v>
      </c>
      <c r="C45" s="43" t="s">
        <v>579</v>
      </c>
      <c r="D45" s="43" t="s">
        <v>83</v>
      </c>
      <c r="E45" s="44">
        <v>619745</v>
      </c>
      <c r="F45" s="44">
        <v>239285</v>
      </c>
      <c r="G45" s="44">
        <v>610952</v>
      </c>
      <c r="H45" s="44">
        <v>235890</v>
      </c>
      <c r="I45" s="45">
        <v>4.1000000000000003E-3</v>
      </c>
      <c r="L45" t="str">
        <f>VLOOKUP(D45,Сountries!V:Z,2,0)</f>
        <v>Africa</v>
      </c>
      <c r="M45" t="str">
        <f>VLOOKUP(D45,Сountries!V:Z,5,0)</f>
        <v>🇸🇸</v>
      </c>
    </row>
    <row r="46" spans="1:13" x14ac:dyDescent="0.2">
      <c r="A46" s="43">
        <v>45</v>
      </c>
      <c r="B46" s="43" t="s">
        <v>626</v>
      </c>
      <c r="C46" s="43" t="s">
        <v>536</v>
      </c>
      <c r="D46" s="43" t="s">
        <v>43</v>
      </c>
      <c r="E46" s="44">
        <v>603500</v>
      </c>
      <c r="F46" s="44">
        <v>233013</v>
      </c>
      <c r="G46" s="44">
        <v>579320</v>
      </c>
      <c r="H46" s="44">
        <v>223677</v>
      </c>
      <c r="I46" s="45">
        <v>3.8999999999999998E-3</v>
      </c>
      <c r="L46" t="str">
        <f>VLOOKUP(D46,Сountries!V:Z,2,0)</f>
        <v>Europe</v>
      </c>
      <c r="M46" t="str">
        <f>VLOOKUP(D46,Сountries!V:Z,5,0)</f>
        <v>🇺🇦</v>
      </c>
    </row>
    <row r="47" spans="1:13" x14ac:dyDescent="0.2">
      <c r="A47" s="43">
        <v>46</v>
      </c>
      <c r="B47" s="43" t="s">
        <v>627</v>
      </c>
      <c r="C47" s="43" t="s">
        <v>542</v>
      </c>
      <c r="D47" s="43" t="s">
        <v>52</v>
      </c>
      <c r="E47" s="44">
        <v>587041</v>
      </c>
      <c r="F47" s="44">
        <v>226658</v>
      </c>
      <c r="G47" s="44">
        <v>581795</v>
      </c>
      <c r="H47" s="44">
        <v>224632</v>
      </c>
      <c r="I47" s="45">
        <v>3.8999999999999998E-3</v>
      </c>
      <c r="L47" t="str">
        <f>VLOOKUP(D47,Сountries!V:Z,2,0)</f>
        <v>Africa</v>
      </c>
      <c r="M47" t="str">
        <f>VLOOKUP(D47,Сountries!V:Z,5,0)</f>
        <v>🇲🇬</v>
      </c>
    </row>
    <row r="48" spans="1:13" x14ac:dyDescent="0.2">
      <c r="A48" s="43">
        <v>47</v>
      </c>
      <c r="B48" s="43" t="s">
        <v>627</v>
      </c>
      <c r="C48" s="43" t="s">
        <v>1268</v>
      </c>
      <c r="D48" s="43" t="s">
        <v>146</v>
      </c>
      <c r="E48" s="44">
        <v>582000</v>
      </c>
      <c r="F48" s="44">
        <v>224711</v>
      </c>
      <c r="G48" s="44">
        <v>566730</v>
      </c>
      <c r="H48" s="44">
        <v>218816</v>
      </c>
      <c r="I48" s="45">
        <v>3.8E-3</v>
      </c>
      <c r="L48" t="str">
        <f>VLOOKUP(D48,Сountries!V:Z,2,0)</f>
        <v>Africa</v>
      </c>
      <c r="M48" t="str">
        <f>VLOOKUP(D48,Сountries!V:Z,5,0)</f>
        <v>🇧🇼</v>
      </c>
    </row>
    <row r="49" spans="1:13" x14ac:dyDescent="0.2">
      <c r="A49" s="43">
        <v>48</v>
      </c>
      <c r="B49" s="43" t="s">
        <v>627</v>
      </c>
      <c r="C49" s="43" t="s">
        <v>522</v>
      </c>
      <c r="D49" s="43" t="s">
        <v>29</v>
      </c>
      <c r="E49" s="44">
        <v>580367</v>
      </c>
      <c r="F49" s="44">
        <v>224081</v>
      </c>
      <c r="G49" s="44">
        <v>569140</v>
      </c>
      <c r="H49" s="44">
        <v>219746</v>
      </c>
      <c r="I49" s="45">
        <v>3.8E-3</v>
      </c>
      <c r="L49" t="str">
        <f>VLOOKUP(D49,Сountries!V:Z,2,0)</f>
        <v>Africa</v>
      </c>
      <c r="M49" t="str">
        <f>VLOOKUP(D49,Сountries!V:Z,5,0)</f>
        <v>🇰🇪</v>
      </c>
    </row>
    <row r="50" spans="1:13" x14ac:dyDescent="0.2">
      <c r="A50" s="43">
        <v>49</v>
      </c>
      <c r="B50" s="43" t="s">
        <v>626</v>
      </c>
      <c r="C50" s="43" t="s">
        <v>519</v>
      </c>
      <c r="D50" s="43" t="s">
        <v>26</v>
      </c>
      <c r="E50" s="44">
        <v>551695</v>
      </c>
      <c r="F50" s="44">
        <v>213011</v>
      </c>
      <c r="G50" s="44">
        <v>547557</v>
      </c>
      <c r="H50" s="44">
        <v>211413</v>
      </c>
      <c r="I50" s="45">
        <v>3.7000000000000002E-3</v>
      </c>
      <c r="L50" t="str">
        <f>VLOOKUP(D50,Сountries!V:Z,2,0)</f>
        <v>Europe</v>
      </c>
      <c r="M50" t="str">
        <f>VLOOKUP(D50,Сountries!V:Z,5,0)</f>
        <v>🇫🇷</v>
      </c>
    </row>
    <row r="51" spans="1:13" x14ac:dyDescent="0.2">
      <c r="A51" s="43">
        <v>50</v>
      </c>
      <c r="B51" s="43" t="s">
        <v>624</v>
      </c>
      <c r="C51" s="43" t="s">
        <v>533</v>
      </c>
      <c r="D51" s="43" t="s">
        <v>40</v>
      </c>
      <c r="E51" s="44">
        <v>527968</v>
      </c>
      <c r="F51" s="44">
        <v>203850</v>
      </c>
      <c r="G51" s="44">
        <v>527970</v>
      </c>
      <c r="H51" s="44">
        <v>203850</v>
      </c>
      <c r="I51" s="45">
        <v>3.5000000000000001E-3</v>
      </c>
      <c r="L51" t="str">
        <f>VLOOKUP(D51,Сountries!V:Z,2,0)</f>
        <v>Asia</v>
      </c>
      <c r="M51" t="str">
        <f>VLOOKUP(D51,Сountries!V:Z,5,0)</f>
        <v>🇾🇪</v>
      </c>
    </row>
    <row r="52" spans="1:13" x14ac:dyDescent="0.2">
      <c r="A52" s="43">
        <v>51</v>
      </c>
      <c r="B52" s="43" t="s">
        <v>624</v>
      </c>
      <c r="C52" s="43" t="s">
        <v>514</v>
      </c>
      <c r="D52" s="43" t="s">
        <v>23</v>
      </c>
      <c r="E52" s="44">
        <v>513120</v>
      </c>
      <c r="F52" s="44">
        <v>198117</v>
      </c>
      <c r="G52" s="44">
        <v>510890</v>
      </c>
      <c r="H52" s="44">
        <v>197256</v>
      </c>
      <c r="I52" s="45">
        <v>3.3999999999999998E-3</v>
      </c>
      <c r="L52" t="str">
        <f>VLOOKUP(D52,Сountries!V:Z,2,0)</f>
        <v>Asia</v>
      </c>
      <c r="M52" t="str">
        <f>VLOOKUP(D52,Сountries!V:Z,5,0)</f>
        <v>🇹🇭</v>
      </c>
    </row>
    <row r="53" spans="1:13" x14ac:dyDescent="0.2">
      <c r="A53" s="43">
        <v>52</v>
      </c>
      <c r="B53" s="43" t="s">
        <v>626</v>
      </c>
      <c r="C53" s="43" t="s">
        <v>528</v>
      </c>
      <c r="D53" s="43" t="s">
        <v>35</v>
      </c>
      <c r="E53" s="44">
        <v>505992</v>
      </c>
      <c r="F53" s="44">
        <v>195365</v>
      </c>
      <c r="G53" s="44">
        <v>498800</v>
      </c>
      <c r="H53" s="44">
        <v>192588</v>
      </c>
      <c r="I53" s="45">
        <v>3.3E-3</v>
      </c>
      <c r="L53" t="str">
        <f>VLOOKUP(D53,Сountries!V:Z,2,0)</f>
        <v>Europe</v>
      </c>
      <c r="M53" t="str">
        <f>VLOOKUP(D53,Сountries!V:Z,5,0)</f>
        <v>🇪🇸</v>
      </c>
    </row>
    <row r="54" spans="1:13" x14ac:dyDescent="0.2">
      <c r="A54" s="43">
        <v>53</v>
      </c>
      <c r="B54" s="43" t="s">
        <v>624</v>
      </c>
      <c r="C54" s="43" t="s">
        <v>1231</v>
      </c>
      <c r="D54" s="43" t="s">
        <v>106</v>
      </c>
      <c r="E54" s="44">
        <v>488100</v>
      </c>
      <c r="F54" s="44">
        <v>188456</v>
      </c>
      <c r="G54" s="44">
        <v>469930</v>
      </c>
      <c r="H54" s="44">
        <v>181441</v>
      </c>
      <c r="I54" s="45">
        <v>3.2000000000000002E-3</v>
      </c>
      <c r="L54" t="str">
        <f>VLOOKUP(D54,Сountries!V:Z,2,0)</f>
        <v>Asia</v>
      </c>
      <c r="M54" t="str">
        <f>VLOOKUP(D54,Сountries!V:Z,5,0)</f>
        <v>🇹🇲</v>
      </c>
    </row>
    <row r="55" spans="1:13" x14ac:dyDescent="0.2">
      <c r="A55" s="43">
        <v>54</v>
      </c>
      <c r="B55" s="43" t="s">
        <v>627</v>
      </c>
      <c r="C55" s="43" t="s">
        <v>553</v>
      </c>
      <c r="D55" s="43" t="s">
        <v>54</v>
      </c>
      <c r="E55" s="44">
        <v>475442</v>
      </c>
      <c r="F55" s="44">
        <v>183569</v>
      </c>
      <c r="G55" s="44">
        <v>472710</v>
      </c>
      <c r="H55" s="44">
        <v>182514</v>
      </c>
      <c r="I55" s="45">
        <v>3.2000000000000002E-3</v>
      </c>
      <c r="L55" t="str">
        <f>VLOOKUP(D55,Сountries!V:Z,2,0)</f>
        <v>Africa</v>
      </c>
      <c r="M55" t="str">
        <f>VLOOKUP(D55,Сountries!V:Z,5,0)</f>
        <v>🇨🇲</v>
      </c>
    </row>
    <row r="56" spans="1:13" x14ac:dyDescent="0.2">
      <c r="A56" s="43">
        <v>55</v>
      </c>
      <c r="B56" s="43" t="s">
        <v>628</v>
      </c>
      <c r="C56" s="43" t="s">
        <v>588</v>
      </c>
      <c r="D56" s="43" t="s">
        <v>92</v>
      </c>
      <c r="E56" s="44">
        <v>462840</v>
      </c>
      <c r="F56" s="44">
        <v>178703</v>
      </c>
      <c r="G56" s="44">
        <v>452860</v>
      </c>
      <c r="H56" s="44">
        <v>174850</v>
      </c>
      <c r="I56" s="45">
        <v>3.0000000000000001E-3</v>
      </c>
      <c r="L56" t="str">
        <f>VLOOKUP(D56,Сountries!V:Z,2,0)</f>
        <v>Oceania</v>
      </c>
      <c r="M56" t="str">
        <f>VLOOKUP(D56,Сountries!V:Z,5,0)</f>
        <v>🇵🇬</v>
      </c>
    </row>
    <row r="57" spans="1:13" x14ac:dyDescent="0.2">
      <c r="A57" s="43">
        <v>56</v>
      </c>
      <c r="B57" s="43" t="s">
        <v>626</v>
      </c>
      <c r="C57" s="43" t="s">
        <v>589</v>
      </c>
      <c r="D57" s="43" t="s">
        <v>93</v>
      </c>
      <c r="E57" s="44">
        <v>450295</v>
      </c>
      <c r="F57" s="44">
        <v>173860</v>
      </c>
      <c r="G57" s="44">
        <v>410340</v>
      </c>
      <c r="H57" s="44">
        <v>158433</v>
      </c>
      <c r="I57" s="45">
        <v>2.8E-3</v>
      </c>
      <c r="L57" t="str">
        <f>VLOOKUP(D57,Сountries!V:Z,2,0)</f>
        <v>Europe</v>
      </c>
      <c r="M57" t="str">
        <f>VLOOKUP(D57,Сountries!V:Z,5,0)</f>
        <v>🇸🇪</v>
      </c>
    </row>
    <row r="58" spans="1:13" x14ac:dyDescent="0.2">
      <c r="A58" s="43">
        <v>57</v>
      </c>
      <c r="B58" s="43" t="s">
        <v>624</v>
      </c>
      <c r="C58" s="43" t="s">
        <v>539</v>
      </c>
      <c r="D58" s="43" t="s">
        <v>46</v>
      </c>
      <c r="E58" s="44">
        <v>447400</v>
      </c>
      <c r="F58" s="44">
        <v>172742</v>
      </c>
      <c r="G58" s="44">
        <v>425400</v>
      </c>
      <c r="H58" s="44">
        <v>164248</v>
      </c>
      <c r="I58" s="45">
        <v>2.8999999999999998E-3</v>
      </c>
      <c r="L58" t="str">
        <f>VLOOKUP(D58,Сountries!V:Z,2,0)</f>
        <v>Asia</v>
      </c>
      <c r="M58" t="str">
        <f>VLOOKUP(D58,Сountries!V:Z,5,0)</f>
        <v>🇺🇿</v>
      </c>
    </row>
    <row r="59" spans="1:13" x14ac:dyDescent="0.2">
      <c r="A59" s="43">
        <v>58</v>
      </c>
      <c r="B59" s="43" t="s">
        <v>627</v>
      </c>
      <c r="C59" s="43" t="s">
        <v>537</v>
      </c>
      <c r="D59" s="43" t="s">
        <v>44</v>
      </c>
      <c r="E59" s="44">
        <v>446550</v>
      </c>
      <c r="F59" s="44">
        <v>172414</v>
      </c>
      <c r="G59" s="44">
        <v>446300</v>
      </c>
      <c r="H59" s="44">
        <v>172317</v>
      </c>
      <c r="I59" s="45">
        <v>3.0000000000000001E-3</v>
      </c>
      <c r="L59" t="str">
        <f>VLOOKUP(D59,Сountries!V:Z,2,0)</f>
        <v>Africa</v>
      </c>
      <c r="M59" t="str">
        <f>VLOOKUP(D59,Сountries!V:Z,5,0)</f>
        <v>🇲🇦</v>
      </c>
    </row>
    <row r="60" spans="1:13" x14ac:dyDescent="0.2">
      <c r="A60" s="43">
        <v>59</v>
      </c>
      <c r="B60" s="43" t="s">
        <v>624</v>
      </c>
      <c r="C60" s="43" t="s">
        <v>530</v>
      </c>
      <c r="D60" s="43" t="s">
        <v>37</v>
      </c>
      <c r="E60" s="44">
        <v>438317</v>
      </c>
      <c r="F60" s="44">
        <v>169235</v>
      </c>
      <c r="G60" s="44">
        <v>434320</v>
      </c>
      <c r="H60" s="44">
        <v>167692</v>
      </c>
      <c r="I60" s="45">
        <v>2.8999999999999998E-3</v>
      </c>
      <c r="L60" t="str">
        <f>VLOOKUP(D60,Сountries!V:Z,2,0)</f>
        <v>Asia</v>
      </c>
      <c r="M60" t="str">
        <f>VLOOKUP(D60,Сountries!V:Z,5,0)</f>
        <v>🇮🇶</v>
      </c>
    </row>
    <row r="61" spans="1:13" x14ac:dyDescent="0.2">
      <c r="A61" s="43">
        <v>60</v>
      </c>
      <c r="B61" s="43" t="s">
        <v>625</v>
      </c>
      <c r="C61" s="43" t="s">
        <v>1234</v>
      </c>
      <c r="D61" s="43" t="s">
        <v>109</v>
      </c>
      <c r="E61" s="44">
        <v>406752</v>
      </c>
      <c r="F61" s="44">
        <v>157048</v>
      </c>
      <c r="G61" s="44">
        <v>397300</v>
      </c>
      <c r="H61" s="44">
        <v>153398</v>
      </c>
      <c r="I61" s="45">
        <v>2.7000000000000001E-3</v>
      </c>
      <c r="L61" t="str">
        <f>VLOOKUP(D61,Сountries!V:Z,2,0)</f>
        <v>America</v>
      </c>
      <c r="M61" t="str">
        <f>VLOOKUP(D61,Сountries!V:Z,5,0)</f>
        <v>🇵🇾</v>
      </c>
    </row>
    <row r="62" spans="1:13" x14ac:dyDescent="0.2">
      <c r="A62" s="43">
        <v>61</v>
      </c>
      <c r="B62" s="43" t="s">
        <v>627</v>
      </c>
      <c r="C62" s="43" t="s">
        <v>572</v>
      </c>
      <c r="D62" s="43" t="s">
        <v>76</v>
      </c>
      <c r="E62" s="44">
        <v>390757</v>
      </c>
      <c r="F62" s="44">
        <v>150872</v>
      </c>
      <c r="G62" s="44">
        <v>386850</v>
      </c>
      <c r="H62" s="44">
        <v>149364</v>
      </c>
      <c r="I62" s="45">
        <v>2.5999999999999999E-3</v>
      </c>
      <c r="L62" t="str">
        <f>VLOOKUP(D62,Сountries!V:Z,2,0)</f>
        <v>Africa</v>
      </c>
      <c r="M62" t="str">
        <f>VLOOKUP(D62,Сountries!V:Z,5,0)</f>
        <v>🇿🇼</v>
      </c>
    </row>
    <row r="63" spans="1:13" x14ac:dyDescent="0.2">
      <c r="A63" s="43">
        <v>62</v>
      </c>
      <c r="B63" s="43" t="s">
        <v>624</v>
      </c>
      <c r="C63" s="43" t="s">
        <v>506</v>
      </c>
      <c r="D63" s="43" t="s">
        <v>15</v>
      </c>
      <c r="E63" s="44">
        <v>377930</v>
      </c>
      <c r="F63" s="44">
        <v>145920</v>
      </c>
      <c r="G63" s="44">
        <v>364555</v>
      </c>
      <c r="H63" s="44">
        <v>140755</v>
      </c>
      <c r="I63" s="45">
        <v>2.3999999999999998E-3</v>
      </c>
      <c r="L63" t="str">
        <f>VLOOKUP(D63,Сountries!V:Z,2,0)</f>
        <v>Asia</v>
      </c>
      <c r="M63" t="str">
        <f>VLOOKUP(D63,Сountries!V:Z,5,0)</f>
        <v>🇯🇵</v>
      </c>
    </row>
    <row r="64" spans="1:13" x14ac:dyDescent="0.2">
      <c r="A64" s="43">
        <v>63</v>
      </c>
      <c r="B64" s="43" t="s">
        <v>626</v>
      </c>
      <c r="C64" s="43" t="s">
        <v>513</v>
      </c>
      <c r="D64" s="43" t="s">
        <v>22</v>
      </c>
      <c r="E64" s="44">
        <v>357114</v>
      </c>
      <c r="F64" s="44">
        <v>137882</v>
      </c>
      <c r="G64" s="44">
        <v>348560</v>
      </c>
      <c r="H64" s="44">
        <v>134580</v>
      </c>
      <c r="I64" s="45">
        <v>2.3E-3</v>
      </c>
      <c r="L64" t="str">
        <f>VLOOKUP(D64,Сountries!V:Z,2,0)</f>
        <v>Europe</v>
      </c>
      <c r="M64" t="str">
        <f>VLOOKUP(D64,Сountries!V:Z,5,0)</f>
        <v>🇩🇪</v>
      </c>
    </row>
    <row r="65" spans="1:13" x14ac:dyDescent="0.2">
      <c r="A65" s="43">
        <v>64</v>
      </c>
      <c r="B65" s="43" t="s">
        <v>624</v>
      </c>
      <c r="C65" s="43" t="s">
        <v>508</v>
      </c>
      <c r="D65" s="43" t="s">
        <v>17</v>
      </c>
      <c r="E65" s="44">
        <v>342353</v>
      </c>
      <c r="F65" s="44">
        <v>132183</v>
      </c>
      <c r="G65" s="44">
        <v>298170</v>
      </c>
      <c r="H65" s="44">
        <v>115124</v>
      </c>
      <c r="I65" s="45">
        <v>2E-3</v>
      </c>
      <c r="L65" t="str">
        <f>VLOOKUP(D65,Сountries!V:Z,2,0)</f>
        <v>Asia</v>
      </c>
      <c r="M65" t="str">
        <f>VLOOKUP(D65,Сountries!V:Z,5,0)</f>
        <v>🇵🇭</v>
      </c>
    </row>
    <row r="66" spans="1:13" x14ac:dyDescent="0.2">
      <c r="A66" s="43">
        <v>65</v>
      </c>
      <c r="B66" s="43" t="s">
        <v>627</v>
      </c>
      <c r="C66" s="43" t="s">
        <v>1238</v>
      </c>
      <c r="D66" s="43" t="s">
        <v>113</v>
      </c>
      <c r="E66" s="44">
        <v>342000</v>
      </c>
      <c r="F66" s="44">
        <v>132047</v>
      </c>
      <c r="G66" s="44">
        <v>341500</v>
      </c>
      <c r="H66" s="44">
        <v>131854</v>
      </c>
      <c r="I66" s="45">
        <v>2.3E-3</v>
      </c>
      <c r="L66" t="str">
        <f>VLOOKUP(D66,Сountries!V:Z,2,0)</f>
        <v>Africa</v>
      </c>
      <c r="M66" t="str">
        <f>VLOOKUP(D66,Сountries!V:Z,5,0)</f>
        <v>🇨🇬</v>
      </c>
    </row>
    <row r="67" spans="1:13" x14ac:dyDescent="0.2">
      <c r="A67" s="43">
        <v>66</v>
      </c>
      <c r="B67" s="43" t="s">
        <v>626</v>
      </c>
      <c r="C67" s="43" t="s">
        <v>1244</v>
      </c>
      <c r="D67" s="43" t="s">
        <v>119</v>
      </c>
      <c r="E67" s="44">
        <v>338424</v>
      </c>
      <c r="F67" s="44">
        <v>130666</v>
      </c>
      <c r="G67" s="44">
        <v>303890</v>
      </c>
      <c r="H67" s="44">
        <v>117333</v>
      </c>
      <c r="I67" s="45">
        <v>2E-3</v>
      </c>
      <c r="L67" t="str">
        <f>VLOOKUP(D67,Сountries!V:Z,2,0)</f>
        <v>Europe</v>
      </c>
      <c r="M67" t="str">
        <f>VLOOKUP(D67,Сountries!V:Z,5,0)</f>
        <v>🇫🇮</v>
      </c>
    </row>
    <row r="68" spans="1:13" x14ac:dyDescent="0.2">
      <c r="A68" s="43">
        <v>67</v>
      </c>
      <c r="B68" s="43" t="s">
        <v>624</v>
      </c>
      <c r="C68" s="43" t="s">
        <v>510</v>
      </c>
      <c r="D68" s="43" t="s">
        <v>19</v>
      </c>
      <c r="E68" s="44">
        <v>331212</v>
      </c>
      <c r="F68" s="44">
        <v>127882</v>
      </c>
      <c r="G68" s="44">
        <v>310070</v>
      </c>
      <c r="H68" s="44">
        <v>119719</v>
      </c>
      <c r="I68" s="45">
        <v>2.0999999999999999E-3</v>
      </c>
      <c r="L68" t="str">
        <f>VLOOKUP(D68,Сountries!V:Z,2,0)</f>
        <v>Asia</v>
      </c>
      <c r="M68" t="str">
        <f>VLOOKUP(D68,Сountries!V:Z,5,0)</f>
        <v>🇻🇳</v>
      </c>
    </row>
    <row r="69" spans="1:13" x14ac:dyDescent="0.2">
      <c r="A69" s="43">
        <v>68</v>
      </c>
      <c r="B69" s="43" t="s">
        <v>624</v>
      </c>
      <c r="C69" s="43" t="s">
        <v>540</v>
      </c>
      <c r="D69" s="43" t="s">
        <v>47</v>
      </c>
      <c r="E69" s="44">
        <v>330803</v>
      </c>
      <c r="F69" s="44">
        <v>127724</v>
      </c>
      <c r="G69" s="44">
        <v>328550</v>
      </c>
      <c r="H69" s="44">
        <v>126854</v>
      </c>
      <c r="I69" s="45">
        <v>2.2000000000000001E-3</v>
      </c>
      <c r="L69" t="str">
        <f>VLOOKUP(D69,Сountries!V:Z,2,0)</f>
        <v>Asia</v>
      </c>
      <c r="M69" t="str">
        <f>VLOOKUP(D69,Сountries!V:Z,5,0)</f>
        <v>🇲🇾</v>
      </c>
    </row>
    <row r="70" spans="1:13" x14ac:dyDescent="0.2">
      <c r="A70" s="43">
        <v>69</v>
      </c>
      <c r="B70" s="43" t="s">
        <v>626</v>
      </c>
      <c r="C70" s="43" t="s">
        <v>1245</v>
      </c>
      <c r="D70" s="43" t="s">
        <v>120</v>
      </c>
      <c r="E70" s="44">
        <v>323802</v>
      </c>
      <c r="F70" s="44">
        <v>125021</v>
      </c>
      <c r="G70" s="44">
        <v>365268</v>
      </c>
      <c r="H70" s="44">
        <v>141031</v>
      </c>
      <c r="I70" s="45">
        <v>2.5000000000000001E-3</v>
      </c>
      <c r="L70" t="str">
        <f>VLOOKUP(D70,Сountries!V:Z,2,0)</f>
        <v>Europe</v>
      </c>
      <c r="M70" t="str">
        <f>VLOOKUP(D70,Сountries!V:Z,5,0)</f>
        <v>🇳🇴</v>
      </c>
    </row>
    <row r="71" spans="1:13" x14ac:dyDescent="0.2">
      <c r="A71" s="43">
        <v>70</v>
      </c>
      <c r="B71" s="43" t="s">
        <v>627</v>
      </c>
      <c r="C71" s="43" t="s">
        <v>552</v>
      </c>
      <c r="D71" s="43" t="s">
        <v>53</v>
      </c>
      <c r="E71" s="44">
        <v>322463</v>
      </c>
      <c r="F71" s="44">
        <v>124504</v>
      </c>
      <c r="G71" s="44">
        <v>318000</v>
      </c>
      <c r="H71" s="44">
        <v>122780</v>
      </c>
      <c r="I71" s="45">
        <v>2.0999999999999999E-3</v>
      </c>
      <c r="L71" t="str">
        <f>VLOOKUP(D71,Сountries!V:Z,2,0)</f>
        <v>Africa</v>
      </c>
      <c r="M71" t="str">
        <f>VLOOKUP(D71,Сountries!V:Z,5,0)</f>
        <v>🇨🇮</v>
      </c>
    </row>
    <row r="72" spans="1:13" x14ac:dyDescent="0.2">
      <c r="A72" s="43">
        <v>71</v>
      </c>
      <c r="B72" s="43" t="s">
        <v>626</v>
      </c>
      <c r="C72" s="43" t="s">
        <v>538</v>
      </c>
      <c r="D72" s="43" t="s">
        <v>45</v>
      </c>
      <c r="E72" s="44">
        <v>312679</v>
      </c>
      <c r="F72" s="44">
        <v>120726</v>
      </c>
      <c r="G72" s="44">
        <v>306230</v>
      </c>
      <c r="H72" s="44">
        <v>118236</v>
      </c>
      <c r="I72" s="45">
        <v>2.0999999999999999E-3</v>
      </c>
      <c r="L72" t="str">
        <f>VLOOKUP(D72,Сountries!V:Z,2,0)</f>
        <v>Europe</v>
      </c>
      <c r="M72" t="str">
        <f>VLOOKUP(D72,Сountries!V:Z,5,0)</f>
        <v>🇵🇱</v>
      </c>
    </row>
    <row r="73" spans="1:13" x14ac:dyDescent="0.2">
      <c r="A73" s="43">
        <v>72</v>
      </c>
      <c r="B73" s="43" t="s">
        <v>624</v>
      </c>
      <c r="C73" s="43" t="s">
        <v>1247</v>
      </c>
      <c r="D73" s="43" t="s">
        <v>123</v>
      </c>
      <c r="E73" s="44">
        <v>309500</v>
      </c>
      <c r="F73" s="44">
        <v>119499</v>
      </c>
      <c r="G73" s="44">
        <v>309500</v>
      </c>
      <c r="H73" s="44">
        <v>119499</v>
      </c>
      <c r="I73" s="45">
        <v>2.0999999999999999E-3</v>
      </c>
      <c r="L73" t="str">
        <f>VLOOKUP(D73,Сountries!V:Z,2,0)</f>
        <v>Asia</v>
      </c>
      <c r="M73" t="str">
        <f>VLOOKUP(D73,Сountries!V:Z,5,0)</f>
        <v>🇴🇲</v>
      </c>
    </row>
    <row r="74" spans="1:13" x14ac:dyDescent="0.2">
      <c r="A74" s="43">
        <v>73</v>
      </c>
      <c r="B74" s="43" t="s">
        <v>626</v>
      </c>
      <c r="C74" s="43" t="s">
        <v>521</v>
      </c>
      <c r="D74" s="43" t="s">
        <v>28</v>
      </c>
      <c r="E74" s="44">
        <v>301336</v>
      </c>
      <c r="F74" s="44">
        <v>116346</v>
      </c>
      <c r="G74" s="44">
        <v>294140</v>
      </c>
      <c r="H74" s="44">
        <v>113568</v>
      </c>
      <c r="I74" s="45">
        <v>2E-3</v>
      </c>
      <c r="L74" t="str">
        <f>VLOOKUP(D74,Сountries!V:Z,2,0)</f>
        <v>Europe</v>
      </c>
      <c r="M74" t="str">
        <f>VLOOKUP(D74,Сountries!V:Z,5,0)</f>
        <v>🇮🇹</v>
      </c>
    </row>
    <row r="75" spans="1:13" x14ac:dyDescent="0.2">
      <c r="A75" s="43">
        <v>74</v>
      </c>
      <c r="B75" s="43" t="s">
        <v>625</v>
      </c>
      <c r="C75" s="43" t="s">
        <v>570</v>
      </c>
      <c r="D75" s="43" t="s">
        <v>74</v>
      </c>
      <c r="E75" s="44">
        <v>276841</v>
      </c>
      <c r="F75" s="44">
        <v>106889</v>
      </c>
      <c r="G75" s="44">
        <v>248360</v>
      </c>
      <c r="H75" s="44">
        <v>95892</v>
      </c>
      <c r="I75" s="45">
        <v>1.6999999999999999E-3</v>
      </c>
      <c r="L75" t="str">
        <f>VLOOKUP(D75,Сountries!V:Z,2,0)</f>
        <v>America</v>
      </c>
      <c r="M75" t="str">
        <f>VLOOKUP(D75,Сountries!V:Z,5,0)</f>
        <v>🇪🇨</v>
      </c>
    </row>
    <row r="76" spans="1:13" x14ac:dyDescent="0.2">
      <c r="A76" s="43">
        <v>75</v>
      </c>
      <c r="B76" s="43" t="s">
        <v>627</v>
      </c>
      <c r="C76" s="43" t="s">
        <v>559</v>
      </c>
      <c r="D76" s="43" t="s">
        <v>62</v>
      </c>
      <c r="E76" s="44">
        <v>272967</v>
      </c>
      <c r="F76" s="44">
        <v>105393</v>
      </c>
      <c r="G76" s="44">
        <v>273600</v>
      </c>
      <c r="H76" s="44">
        <v>105638</v>
      </c>
      <c r="I76" s="45">
        <v>1.8E-3</v>
      </c>
      <c r="L76" t="str">
        <f>VLOOKUP(D76,Сountries!V:Z,2,0)</f>
        <v>Africa</v>
      </c>
      <c r="M76" t="str">
        <f>VLOOKUP(D76,Сountries!V:Z,5,0)</f>
        <v>🇧🇫</v>
      </c>
    </row>
    <row r="77" spans="1:13" x14ac:dyDescent="0.2">
      <c r="A77" s="43">
        <v>76</v>
      </c>
      <c r="B77" s="43" t="s">
        <v>620</v>
      </c>
      <c r="C77" s="43" t="s">
        <v>1250</v>
      </c>
      <c r="D77" s="43" t="s">
        <v>127</v>
      </c>
      <c r="E77" s="44">
        <v>270467</v>
      </c>
      <c r="F77" s="44">
        <v>104428</v>
      </c>
      <c r="G77" s="44">
        <v>263310</v>
      </c>
      <c r="H77" s="44">
        <v>101665</v>
      </c>
      <c r="I77" s="45">
        <v>1.8E-3</v>
      </c>
      <c r="L77" t="str">
        <f>VLOOKUP(D77,Сountries!V:Z,2,0)</f>
        <v>Australia and New Zealand</v>
      </c>
      <c r="M77" t="str">
        <f>VLOOKUP(D77,Сountries!V:Z,5,0)</f>
        <v>🇳🇿</v>
      </c>
    </row>
    <row r="78" spans="1:13" x14ac:dyDescent="0.2">
      <c r="A78" s="43">
        <v>77</v>
      </c>
      <c r="B78" s="43" t="s">
        <v>627</v>
      </c>
      <c r="C78" s="43" t="s">
        <v>1267</v>
      </c>
      <c r="D78" s="43" t="s">
        <v>145</v>
      </c>
      <c r="E78" s="44">
        <v>267668</v>
      </c>
      <c r="F78" s="44">
        <v>103347</v>
      </c>
      <c r="G78" s="44">
        <v>257670</v>
      </c>
      <c r="H78" s="44">
        <v>99487</v>
      </c>
      <c r="I78" s="45">
        <v>1.6999999999999999E-3</v>
      </c>
      <c r="L78" t="str">
        <f>VLOOKUP(D78,Сountries!V:Z,2,0)</f>
        <v>Africa</v>
      </c>
      <c r="M78" t="str">
        <f>VLOOKUP(D78,Сountries!V:Z,5,0)</f>
        <v>🇬🇦</v>
      </c>
    </row>
    <row r="79" spans="1:13" x14ac:dyDescent="0.2">
      <c r="A79" s="43">
        <v>78</v>
      </c>
      <c r="B79" s="43" t="s">
        <v>627</v>
      </c>
      <c r="C79" s="43" t="s">
        <v>1340</v>
      </c>
      <c r="D79" s="43" t="s">
        <v>385</v>
      </c>
      <c r="E79" s="44">
        <v>266000</v>
      </c>
      <c r="F79" s="44">
        <v>102703</v>
      </c>
      <c r="G79" s="44">
        <v>266000</v>
      </c>
      <c r="H79" s="44">
        <v>102703</v>
      </c>
      <c r="I79" s="45">
        <v>1.8E-3</v>
      </c>
      <c r="L79" t="str">
        <f>VLOOKUP(D79,Сountries!V:Z,2,0)</f>
        <v>Africa</v>
      </c>
      <c r="M79" t="str">
        <f>VLOOKUP(D79,Сountries!V:Z,5,0)</f>
        <v>🇪🇭</v>
      </c>
    </row>
    <row r="80" spans="1:13" x14ac:dyDescent="0.2">
      <c r="A80" s="43">
        <v>79</v>
      </c>
      <c r="B80" s="43" t="s">
        <v>627</v>
      </c>
      <c r="C80" s="43" t="s">
        <v>573</v>
      </c>
      <c r="D80" s="43" t="s">
        <v>77</v>
      </c>
      <c r="E80" s="44">
        <v>245857</v>
      </c>
      <c r="F80" s="44">
        <v>94926</v>
      </c>
      <c r="G80" s="44">
        <v>245720</v>
      </c>
      <c r="H80" s="44">
        <v>94873</v>
      </c>
      <c r="I80" s="45">
        <v>1.6000000000000001E-3</v>
      </c>
      <c r="L80" t="str">
        <f>VLOOKUP(D80,Сountries!V:Z,2,0)</f>
        <v>Africa</v>
      </c>
      <c r="M80" t="str">
        <f>VLOOKUP(D80,Сountries!V:Z,5,0)</f>
        <v>🇬🇫</v>
      </c>
    </row>
    <row r="81" spans="1:13" x14ac:dyDescent="0.2">
      <c r="A81" s="43">
        <v>80</v>
      </c>
      <c r="B81" s="43" t="s">
        <v>626</v>
      </c>
      <c r="C81" s="43" t="s">
        <v>516</v>
      </c>
      <c r="D81" s="43" t="s">
        <v>25</v>
      </c>
      <c r="E81" s="44">
        <v>242900</v>
      </c>
      <c r="F81" s="44">
        <v>93784</v>
      </c>
      <c r="G81" s="44">
        <v>241930</v>
      </c>
      <c r="H81" s="44">
        <v>93410</v>
      </c>
      <c r="I81" s="45">
        <v>1.6000000000000001E-3</v>
      </c>
      <c r="L81" t="str">
        <f>VLOOKUP(D81,Сountries!V:Z,2,0)</f>
        <v>Europe</v>
      </c>
      <c r="M81" t="str">
        <f>VLOOKUP(D81,Сountries!V:Z,5,0)</f>
        <v>🇬🇧</v>
      </c>
    </row>
    <row r="82" spans="1:13" x14ac:dyDescent="0.2">
      <c r="A82" s="43">
        <v>81</v>
      </c>
      <c r="B82" s="43" t="s">
        <v>627</v>
      </c>
      <c r="C82" s="43" t="s">
        <v>527</v>
      </c>
      <c r="D82" s="43" t="s">
        <v>34</v>
      </c>
      <c r="E82" s="44">
        <v>241550</v>
      </c>
      <c r="F82" s="44">
        <v>93263</v>
      </c>
      <c r="G82" s="44">
        <v>199810</v>
      </c>
      <c r="H82" s="44">
        <v>77147</v>
      </c>
      <c r="I82" s="45">
        <v>1.2999999999999999E-3</v>
      </c>
      <c r="L82" t="str">
        <f>VLOOKUP(D82,Сountries!V:Z,2,0)</f>
        <v>Africa</v>
      </c>
      <c r="M82" t="str">
        <f>VLOOKUP(D82,Сountries!V:Z,5,0)</f>
        <v>🇺🇬</v>
      </c>
    </row>
    <row r="83" spans="1:13" x14ac:dyDescent="0.2">
      <c r="A83" s="43">
        <v>82</v>
      </c>
      <c r="B83" s="43" t="s">
        <v>627</v>
      </c>
      <c r="C83" s="43" t="s">
        <v>549</v>
      </c>
      <c r="D83" s="43" t="s">
        <v>49</v>
      </c>
      <c r="E83" s="44">
        <v>238533</v>
      </c>
      <c r="F83" s="44">
        <v>92098</v>
      </c>
      <c r="G83" s="44">
        <v>227540</v>
      </c>
      <c r="H83" s="44">
        <v>87854</v>
      </c>
      <c r="I83" s="45">
        <v>1.5E-3</v>
      </c>
      <c r="L83" t="str">
        <f>VLOOKUP(D83,Сountries!V:Z,2,0)</f>
        <v>Africa</v>
      </c>
      <c r="M83" t="str">
        <f>VLOOKUP(D83,Сountries!V:Z,5,0)</f>
        <v>🇬🇭</v>
      </c>
    </row>
    <row r="84" spans="1:13" x14ac:dyDescent="0.2">
      <c r="A84" s="43">
        <v>83</v>
      </c>
      <c r="B84" s="43" t="s">
        <v>626</v>
      </c>
      <c r="C84" s="43" t="s">
        <v>567</v>
      </c>
      <c r="D84" s="43" t="s">
        <v>71</v>
      </c>
      <c r="E84" s="44">
        <v>238391</v>
      </c>
      <c r="F84" s="44">
        <v>92043</v>
      </c>
      <c r="G84" s="44">
        <v>230170</v>
      </c>
      <c r="H84" s="44">
        <v>88869</v>
      </c>
      <c r="I84" s="45">
        <v>1.5E-3</v>
      </c>
      <c r="L84" t="str">
        <f>VLOOKUP(D84,Сountries!V:Z,2,0)</f>
        <v>Europe</v>
      </c>
      <c r="M84" t="str">
        <f>VLOOKUP(D84,Сountries!V:Z,5,0)</f>
        <v>🇷🇴</v>
      </c>
    </row>
    <row r="85" spans="1:13" x14ac:dyDescent="0.2">
      <c r="A85" s="43">
        <v>84</v>
      </c>
      <c r="B85" s="43" t="s">
        <v>624</v>
      </c>
      <c r="C85" s="43" t="s">
        <v>601</v>
      </c>
      <c r="D85" s="43" t="s">
        <v>105</v>
      </c>
      <c r="E85" s="44">
        <v>236800</v>
      </c>
      <c r="F85" s="44">
        <v>91429</v>
      </c>
      <c r="G85" s="44">
        <v>230800</v>
      </c>
      <c r="H85" s="44">
        <v>89112</v>
      </c>
      <c r="I85" s="45">
        <v>1.5E-3</v>
      </c>
      <c r="L85" t="str">
        <f>VLOOKUP(D85,Сountries!V:Z,2,0)</f>
        <v>Asia</v>
      </c>
      <c r="M85" t="str">
        <f>VLOOKUP(D85,Сountries!V:Z,5,0)</f>
        <v>🇱🇦</v>
      </c>
    </row>
    <row r="86" spans="1:13" x14ac:dyDescent="0.2">
      <c r="A86" s="43">
        <v>85</v>
      </c>
      <c r="B86" s="43" t="s">
        <v>625</v>
      </c>
      <c r="C86" s="43" t="s">
        <v>1285</v>
      </c>
      <c r="D86" s="43" t="s">
        <v>164</v>
      </c>
      <c r="E86" s="44">
        <v>214969</v>
      </c>
      <c r="F86" s="44">
        <v>83000</v>
      </c>
      <c r="G86" s="44">
        <v>196850</v>
      </c>
      <c r="H86" s="44">
        <v>76004</v>
      </c>
      <c r="I86" s="45">
        <v>1.2999999999999999E-3</v>
      </c>
      <c r="L86" t="str">
        <f>VLOOKUP(D86,Сountries!V:Z,2,0)</f>
        <v>America</v>
      </c>
      <c r="M86" t="str">
        <f>VLOOKUP(D86,Сountries!V:Z,5,0)</f>
        <v>🇬🇾</v>
      </c>
    </row>
    <row r="87" spans="1:13" x14ac:dyDescent="0.2">
      <c r="A87" s="43">
        <v>86</v>
      </c>
      <c r="B87" s="43" t="s">
        <v>626</v>
      </c>
      <c r="C87" s="43" t="s">
        <v>598</v>
      </c>
      <c r="D87" s="43" t="s">
        <v>102</v>
      </c>
      <c r="E87" s="44">
        <v>207600</v>
      </c>
      <c r="F87" s="44">
        <v>80155</v>
      </c>
      <c r="G87" s="44">
        <v>202910</v>
      </c>
      <c r="H87" s="44">
        <v>78344</v>
      </c>
      <c r="I87" s="45">
        <v>1.4E-3</v>
      </c>
      <c r="L87" t="str">
        <f>VLOOKUP(D87,Сountries!V:Z,2,0)</f>
        <v>Europe</v>
      </c>
      <c r="M87" t="str">
        <f>VLOOKUP(D87,Сountries!V:Z,5,0)</f>
        <v>🇧🇾</v>
      </c>
    </row>
    <row r="88" spans="1:13" x14ac:dyDescent="0.2">
      <c r="A88" s="43">
        <v>87</v>
      </c>
      <c r="B88" s="43" t="s">
        <v>624</v>
      </c>
      <c r="C88" s="43" t="s">
        <v>1233</v>
      </c>
      <c r="D88" s="43" t="s">
        <v>108</v>
      </c>
      <c r="E88" s="44">
        <v>199951</v>
      </c>
      <c r="F88" s="44">
        <v>77201</v>
      </c>
      <c r="G88" s="44">
        <v>191800</v>
      </c>
      <c r="H88" s="44">
        <v>74054</v>
      </c>
      <c r="I88" s="45">
        <v>1.2999999999999999E-3</v>
      </c>
      <c r="L88" t="str">
        <f>VLOOKUP(D88,Сountries!V:Z,2,0)</f>
        <v>Asia</v>
      </c>
      <c r="M88" t="str">
        <f>VLOOKUP(D88,Сountries!V:Z,5,0)</f>
        <v>🇰🇬</v>
      </c>
    </row>
    <row r="89" spans="1:13" x14ac:dyDescent="0.2">
      <c r="A89" s="43">
        <v>88</v>
      </c>
      <c r="B89" s="43" t="s">
        <v>627</v>
      </c>
      <c r="C89" s="43" t="s">
        <v>566</v>
      </c>
      <c r="D89" s="43" t="s">
        <v>70</v>
      </c>
      <c r="E89" s="44">
        <v>196722</v>
      </c>
      <c r="F89" s="44">
        <v>75955</v>
      </c>
      <c r="G89" s="44">
        <v>192530</v>
      </c>
      <c r="H89" s="44">
        <v>74336</v>
      </c>
      <c r="I89" s="45">
        <v>1.2999999999999999E-3</v>
      </c>
      <c r="L89" t="str">
        <f>VLOOKUP(D89,Сountries!V:Z,2,0)</f>
        <v>Africa</v>
      </c>
      <c r="M89" t="str">
        <f>VLOOKUP(D89,Сountries!V:Z,5,0)</f>
        <v>🇸🇳</v>
      </c>
    </row>
    <row r="90" spans="1:13" x14ac:dyDescent="0.2">
      <c r="A90" s="43">
        <v>89</v>
      </c>
      <c r="B90" s="43" t="s">
        <v>624</v>
      </c>
      <c r="C90" s="43" t="s">
        <v>558</v>
      </c>
      <c r="D90" s="43" t="s">
        <v>60</v>
      </c>
      <c r="E90" s="44">
        <v>185180</v>
      </c>
      <c r="F90" s="44">
        <v>71498</v>
      </c>
      <c r="G90" s="44">
        <v>183630</v>
      </c>
      <c r="H90" s="44">
        <v>70900</v>
      </c>
      <c r="I90" s="45">
        <v>1.1999999999999999E-3</v>
      </c>
      <c r="L90" t="str">
        <f>VLOOKUP(D90,Сountries!V:Z,2,0)</f>
        <v>Asia</v>
      </c>
      <c r="M90" t="str">
        <f>VLOOKUP(D90,Сountries!V:Z,5,0)</f>
        <v>🇸🇾</v>
      </c>
    </row>
    <row r="91" spans="1:13" x14ac:dyDescent="0.2">
      <c r="A91" s="43">
        <v>90</v>
      </c>
      <c r="B91" s="43" t="s">
        <v>624</v>
      </c>
      <c r="C91" s="43" t="s">
        <v>571</v>
      </c>
      <c r="D91" s="43" t="s">
        <v>75</v>
      </c>
      <c r="E91" s="44">
        <v>181035</v>
      </c>
      <c r="F91" s="44">
        <v>69898</v>
      </c>
      <c r="G91" s="44">
        <v>176520</v>
      </c>
      <c r="H91" s="44">
        <v>68155</v>
      </c>
      <c r="I91" s="45">
        <v>1.1999999999999999E-3</v>
      </c>
      <c r="L91" t="str">
        <f>VLOOKUP(D91,Сountries!V:Z,2,0)</f>
        <v>Asia</v>
      </c>
      <c r="M91" t="str">
        <f>VLOOKUP(D91,Сountries!V:Z,5,0)</f>
        <v>🇰🇭</v>
      </c>
    </row>
    <row r="92" spans="1:13" x14ac:dyDescent="0.2">
      <c r="A92" s="43">
        <v>91</v>
      </c>
      <c r="B92" s="43" t="s">
        <v>625</v>
      </c>
      <c r="C92" s="43" t="s">
        <v>518</v>
      </c>
      <c r="D92" s="43" t="s">
        <v>135</v>
      </c>
      <c r="E92" s="44">
        <v>181034</v>
      </c>
      <c r="F92" s="44">
        <v>69898</v>
      </c>
      <c r="G92" s="44">
        <v>175020</v>
      </c>
      <c r="H92" s="44">
        <v>67576</v>
      </c>
      <c r="I92" s="45">
        <v>1.1999999999999999E-3</v>
      </c>
      <c r="L92" t="str">
        <f>VLOOKUP(D92,Сountries!V:Z,2,0)</f>
        <v>America</v>
      </c>
      <c r="M92" t="str">
        <f>VLOOKUP(D92,Сountries!V:Z,5,0)</f>
        <v>🇺🇾</v>
      </c>
    </row>
    <row r="93" spans="1:13" x14ac:dyDescent="0.2">
      <c r="A93" s="43">
        <v>92</v>
      </c>
      <c r="B93" s="43" t="s">
        <v>625</v>
      </c>
      <c r="C93" s="43" t="s">
        <v>1288</v>
      </c>
      <c r="D93" s="43" t="s">
        <v>167</v>
      </c>
      <c r="E93" s="44">
        <v>163820</v>
      </c>
      <c r="F93" s="44">
        <v>63251</v>
      </c>
      <c r="G93" s="44">
        <v>156000</v>
      </c>
      <c r="H93" s="44">
        <v>60232</v>
      </c>
      <c r="I93" s="45">
        <v>1E-3</v>
      </c>
      <c r="L93" t="str">
        <f>VLOOKUP(D93,Сountries!V:Z,2,0)</f>
        <v>America</v>
      </c>
      <c r="M93" t="str">
        <f>VLOOKUP(D93,Сountries!V:Z,5,0)</f>
        <v>🇸🇷</v>
      </c>
    </row>
    <row r="94" spans="1:13" x14ac:dyDescent="0.2">
      <c r="A94" s="43">
        <v>93</v>
      </c>
      <c r="B94" s="43" t="s">
        <v>627</v>
      </c>
      <c r="C94" s="43" t="s">
        <v>578</v>
      </c>
      <c r="D94" s="43" t="s">
        <v>82</v>
      </c>
      <c r="E94" s="44">
        <v>163610</v>
      </c>
      <c r="F94" s="44">
        <v>63170</v>
      </c>
      <c r="G94" s="44">
        <v>155360</v>
      </c>
      <c r="H94" s="44">
        <v>59985</v>
      </c>
      <c r="I94" s="45">
        <v>1E-3</v>
      </c>
      <c r="L94" t="str">
        <f>VLOOKUP(D94,Сountries!V:Z,2,0)</f>
        <v>Africa</v>
      </c>
      <c r="M94" t="str">
        <f>VLOOKUP(D94,Сountries!V:Z,5,0)</f>
        <v>🇹🇳</v>
      </c>
    </row>
    <row r="95" spans="1:13" x14ac:dyDescent="0.2">
      <c r="A95" s="43">
        <v>94</v>
      </c>
      <c r="B95" s="43" t="s">
        <v>624</v>
      </c>
      <c r="C95" s="43" t="s">
        <v>502</v>
      </c>
      <c r="D95" s="43" t="s">
        <v>11</v>
      </c>
      <c r="E95" s="44">
        <v>147570</v>
      </c>
      <c r="F95" s="44">
        <v>56977</v>
      </c>
      <c r="G95" s="44">
        <v>130170</v>
      </c>
      <c r="H95" s="44">
        <v>50259</v>
      </c>
      <c r="I95" s="45">
        <v>8.7000000000000001E-4</v>
      </c>
      <c r="L95" t="str">
        <f>VLOOKUP(D95,Сountries!V:Z,2,0)</f>
        <v>Asia</v>
      </c>
      <c r="M95" t="str">
        <f>VLOOKUP(D95,Сountries!V:Z,5,0)</f>
        <v>🇧🇩</v>
      </c>
    </row>
    <row r="96" spans="1:13" x14ac:dyDescent="0.2">
      <c r="A96" s="43">
        <v>95</v>
      </c>
      <c r="B96" s="43" t="s">
        <v>624</v>
      </c>
      <c r="C96" s="43" t="s">
        <v>554</v>
      </c>
      <c r="D96" s="43" t="s">
        <v>55</v>
      </c>
      <c r="E96" s="44">
        <v>147181</v>
      </c>
      <c r="F96" s="44">
        <v>56827</v>
      </c>
      <c r="G96" s="44">
        <v>143350</v>
      </c>
      <c r="H96" s="44">
        <v>55348</v>
      </c>
      <c r="I96" s="45">
        <v>9.6000000000000002E-4</v>
      </c>
      <c r="L96" t="str">
        <f>VLOOKUP(D96,Сountries!V:Z,2,0)</f>
        <v>Asia</v>
      </c>
      <c r="M96" t="str">
        <f>VLOOKUP(D96,Сountries!V:Z,5,0)</f>
        <v>🇳🇵</v>
      </c>
    </row>
    <row r="97" spans="1:13" x14ac:dyDescent="0.2">
      <c r="A97" s="43">
        <v>96</v>
      </c>
      <c r="B97" s="43" t="s">
        <v>624</v>
      </c>
      <c r="C97" s="43" t="s">
        <v>587</v>
      </c>
      <c r="D97" s="43" t="s">
        <v>91</v>
      </c>
      <c r="E97" s="44">
        <v>143100</v>
      </c>
      <c r="F97" s="44">
        <v>55251</v>
      </c>
      <c r="G97" s="44">
        <v>139960</v>
      </c>
      <c r="H97" s="44">
        <v>54039</v>
      </c>
      <c r="I97" s="45">
        <v>9.3999999999999997E-4</v>
      </c>
      <c r="L97" t="str">
        <f>VLOOKUP(D97,Сountries!V:Z,2,0)</f>
        <v>Asia</v>
      </c>
      <c r="M97" t="str">
        <f>VLOOKUP(D97,Сountries!V:Z,5,0)</f>
        <v>🇹🇯</v>
      </c>
    </row>
    <row r="98" spans="1:13" x14ac:dyDescent="0.2">
      <c r="A98" s="43">
        <v>97</v>
      </c>
      <c r="B98" s="43" t="s">
        <v>626</v>
      </c>
      <c r="C98" s="43" t="s">
        <v>593</v>
      </c>
      <c r="D98" s="43" t="s">
        <v>97</v>
      </c>
      <c r="E98" s="44">
        <v>131990</v>
      </c>
      <c r="F98" s="44">
        <v>50962</v>
      </c>
      <c r="G98" s="44">
        <v>128900</v>
      </c>
      <c r="H98" s="44">
        <v>49769</v>
      </c>
      <c r="I98" s="45">
        <v>8.7000000000000001E-4</v>
      </c>
      <c r="L98" t="str">
        <f>VLOOKUP(D98,Сountries!V:Z,2,0)</f>
        <v>Europe</v>
      </c>
      <c r="M98" t="str">
        <f>VLOOKUP(D98,Сountries!V:Z,5,0)</f>
        <v>🇬🇷</v>
      </c>
    </row>
    <row r="99" spans="1:13" x14ac:dyDescent="0.2">
      <c r="A99" s="43">
        <v>98</v>
      </c>
      <c r="B99" s="43" t="s">
        <v>625</v>
      </c>
      <c r="C99" s="43" t="s">
        <v>1235</v>
      </c>
      <c r="D99" s="43" t="s">
        <v>110</v>
      </c>
      <c r="E99" s="44">
        <v>130373</v>
      </c>
      <c r="F99" s="44">
        <v>50337</v>
      </c>
      <c r="G99" s="44">
        <v>120340</v>
      </c>
      <c r="H99" s="44">
        <v>46464</v>
      </c>
      <c r="I99" s="45">
        <v>8.0999999999999996E-4</v>
      </c>
      <c r="L99" t="str">
        <f>VLOOKUP(D99,Сountries!V:Z,2,0)</f>
        <v>America</v>
      </c>
      <c r="M99" t="str">
        <f>VLOOKUP(D99,Сountries!V:Z,5,0)</f>
        <v>🇳🇮</v>
      </c>
    </row>
    <row r="100" spans="1:13" x14ac:dyDescent="0.2">
      <c r="A100" s="43">
        <v>99</v>
      </c>
      <c r="B100" s="43" t="s">
        <v>624</v>
      </c>
      <c r="C100" s="43" t="s">
        <v>525</v>
      </c>
      <c r="D100" s="43" t="s">
        <v>59</v>
      </c>
      <c r="E100" s="44">
        <v>120538</v>
      </c>
      <c r="F100" s="44">
        <v>46540</v>
      </c>
      <c r="G100" s="44">
        <v>120410</v>
      </c>
      <c r="H100" s="44">
        <v>46491</v>
      </c>
      <c r="I100" s="45">
        <v>8.0999999999999996E-4</v>
      </c>
      <c r="L100" t="str">
        <f>VLOOKUP(D100,Сountries!V:Z,2,0)</f>
        <v>Asia</v>
      </c>
      <c r="M100" t="str">
        <f>VLOOKUP(D100,Сountries!V:Z,5,0)</f>
        <v>🇰🇵</v>
      </c>
    </row>
    <row r="101" spans="1:13" x14ac:dyDescent="0.2">
      <c r="A101" s="43">
        <v>100</v>
      </c>
      <c r="B101" s="43" t="s">
        <v>627</v>
      </c>
      <c r="C101" s="43" t="s">
        <v>541</v>
      </c>
      <c r="D101" s="43" t="s">
        <v>64</v>
      </c>
      <c r="E101" s="44">
        <v>118484</v>
      </c>
      <c r="F101" s="44">
        <v>45747</v>
      </c>
      <c r="G101" s="44">
        <v>94280</v>
      </c>
      <c r="H101" s="44">
        <v>36402</v>
      </c>
      <c r="I101" s="45">
        <v>6.3000000000000003E-4</v>
      </c>
      <c r="L101" t="str">
        <f>VLOOKUP(D101,Сountries!V:Z,2,0)</f>
        <v>Africa</v>
      </c>
      <c r="M101" t="str">
        <f>VLOOKUP(D101,Сountries!V:Z,5,0)</f>
        <v>🇲🇼</v>
      </c>
    </row>
    <row r="102" spans="1:13" x14ac:dyDescent="0.2">
      <c r="A102" s="43">
        <v>101</v>
      </c>
      <c r="B102" s="43" t="s">
        <v>627</v>
      </c>
      <c r="C102" s="43" t="s">
        <v>1256</v>
      </c>
      <c r="D102" s="43" t="s">
        <v>133</v>
      </c>
      <c r="E102" s="44">
        <v>117600</v>
      </c>
      <c r="F102" s="44">
        <v>45406</v>
      </c>
      <c r="G102" s="44">
        <v>101000</v>
      </c>
      <c r="H102" s="44">
        <v>38996</v>
      </c>
      <c r="I102" s="45">
        <v>6.8000000000000005E-4</v>
      </c>
      <c r="L102" t="str">
        <f>VLOOKUP(D102,Сountries!V:Z,2,0)</f>
        <v>Africa</v>
      </c>
      <c r="M102" t="str">
        <f>VLOOKUP(D102,Сountries!V:Z,5,0)</f>
        <v>🇪🇷</v>
      </c>
    </row>
    <row r="103" spans="1:13" x14ac:dyDescent="0.2">
      <c r="A103" s="43">
        <v>102</v>
      </c>
      <c r="B103" s="43" t="s">
        <v>627</v>
      </c>
      <c r="C103" s="43" t="s">
        <v>574</v>
      </c>
      <c r="D103" s="43" t="s">
        <v>78</v>
      </c>
      <c r="E103" s="44">
        <v>112622</v>
      </c>
      <c r="F103" s="44">
        <v>43484</v>
      </c>
      <c r="G103" s="44">
        <v>112760</v>
      </c>
      <c r="H103" s="44">
        <v>43537</v>
      </c>
      <c r="I103" s="45">
        <v>7.6000000000000004E-4</v>
      </c>
      <c r="L103" t="str">
        <f>VLOOKUP(D103,Сountries!V:Z,2,0)</f>
        <v>Africa</v>
      </c>
      <c r="M103" t="str">
        <f>VLOOKUP(D103,Сountries!V:Z,5,0)</f>
        <v>🇧🇯</v>
      </c>
    </row>
    <row r="104" spans="1:13" x14ac:dyDescent="0.2">
      <c r="A104" s="43">
        <v>103</v>
      </c>
      <c r="B104" s="43" t="s">
        <v>625</v>
      </c>
      <c r="C104" s="43" t="s">
        <v>585</v>
      </c>
      <c r="D104" s="43" t="s">
        <v>89</v>
      </c>
      <c r="E104" s="44">
        <v>112492</v>
      </c>
      <c r="F104" s="44">
        <v>43433</v>
      </c>
      <c r="G104" s="44">
        <v>111890</v>
      </c>
      <c r="H104" s="44">
        <v>43201</v>
      </c>
      <c r="I104" s="45">
        <v>7.5000000000000002E-4</v>
      </c>
      <c r="L104" t="str">
        <f>VLOOKUP(D104,Сountries!V:Z,2,0)</f>
        <v>America</v>
      </c>
      <c r="M104" t="str">
        <f>VLOOKUP(D104,Сountries!V:Z,5,0)</f>
        <v>🇭🇳</v>
      </c>
    </row>
    <row r="105" spans="1:13" x14ac:dyDescent="0.2">
      <c r="A105" s="43">
        <v>104</v>
      </c>
      <c r="B105" s="43" t="s">
        <v>627</v>
      </c>
      <c r="C105" s="43" t="s">
        <v>1243</v>
      </c>
      <c r="D105" s="43" t="s">
        <v>118</v>
      </c>
      <c r="E105" s="44">
        <v>111369</v>
      </c>
      <c r="F105" s="44">
        <v>43000</v>
      </c>
      <c r="G105" s="44">
        <v>96320</v>
      </c>
      <c r="H105" s="44">
        <v>37189</v>
      </c>
      <c r="I105" s="45">
        <v>6.4999999999999997E-4</v>
      </c>
      <c r="L105" t="str">
        <f>VLOOKUP(D105,Сountries!V:Z,2,0)</f>
        <v>Africa</v>
      </c>
      <c r="M105" t="str">
        <f>VLOOKUP(D105,Сountries!V:Z,5,0)</f>
        <v>🇱🇷</v>
      </c>
    </row>
    <row r="106" spans="1:13" x14ac:dyDescent="0.2">
      <c r="A106" s="43">
        <v>105</v>
      </c>
      <c r="B106" s="43" t="s">
        <v>626</v>
      </c>
      <c r="C106" s="43" t="s">
        <v>1236</v>
      </c>
      <c r="D106" s="43" t="s">
        <v>111</v>
      </c>
      <c r="E106" s="44">
        <v>110879</v>
      </c>
      <c r="F106" s="44">
        <v>42811</v>
      </c>
      <c r="G106" s="44">
        <v>108560</v>
      </c>
      <c r="H106" s="44">
        <v>41915</v>
      </c>
      <c r="I106" s="45">
        <v>7.2999999999999996E-4</v>
      </c>
      <c r="L106" t="str">
        <f>VLOOKUP(D106,Сountries!V:Z,2,0)</f>
        <v>Europe</v>
      </c>
      <c r="M106" t="str">
        <f>VLOOKUP(D106,Сountries!V:Z,5,0)</f>
        <v>🇧🇬</v>
      </c>
    </row>
    <row r="107" spans="1:13" x14ac:dyDescent="0.2">
      <c r="A107" s="43">
        <v>106</v>
      </c>
      <c r="B107" s="43" t="s">
        <v>628</v>
      </c>
      <c r="C107" s="43" t="s">
        <v>586</v>
      </c>
      <c r="D107" s="43" t="s">
        <v>90</v>
      </c>
      <c r="E107" s="44">
        <v>109884</v>
      </c>
      <c r="F107" s="44">
        <v>42426</v>
      </c>
      <c r="G107" s="44">
        <v>106440</v>
      </c>
      <c r="H107" s="44">
        <v>41097</v>
      </c>
      <c r="I107" s="45">
        <v>7.1000000000000002E-4</v>
      </c>
      <c r="L107" t="str">
        <f>VLOOKUP(D107,Сountries!V:Z,2,0)</f>
        <v>Oceania</v>
      </c>
      <c r="M107" t="str">
        <f>VLOOKUP(D107,Сountries!V:Z,5,0)</f>
        <v>🇨🇺</v>
      </c>
    </row>
    <row r="108" spans="1:13" x14ac:dyDescent="0.2">
      <c r="A108" s="43">
        <v>107</v>
      </c>
      <c r="B108" s="43" t="s">
        <v>625</v>
      </c>
      <c r="C108" s="43" t="s">
        <v>568</v>
      </c>
      <c r="D108" s="43" t="s">
        <v>72</v>
      </c>
      <c r="E108" s="44">
        <v>108889</v>
      </c>
      <c r="F108" s="44">
        <v>42042</v>
      </c>
      <c r="G108" s="44">
        <v>107160</v>
      </c>
      <c r="H108" s="44">
        <v>41375</v>
      </c>
      <c r="I108" s="45">
        <v>7.2000000000000005E-4</v>
      </c>
      <c r="L108" t="str">
        <f>VLOOKUP(D108,Сountries!V:Z,2,0)</f>
        <v>America</v>
      </c>
      <c r="M108" t="str">
        <f>VLOOKUP(D108,Сountries!V:Z,5,0)</f>
        <v>🇬🇹</v>
      </c>
    </row>
    <row r="109" spans="1:13" x14ac:dyDescent="0.2">
      <c r="A109" s="43">
        <v>108</v>
      </c>
      <c r="B109" s="43" t="s">
        <v>626</v>
      </c>
      <c r="C109" s="43" t="s">
        <v>1294</v>
      </c>
      <c r="D109" s="43" t="s">
        <v>175</v>
      </c>
      <c r="E109" s="44">
        <v>103000</v>
      </c>
      <c r="F109" s="44">
        <v>39769</v>
      </c>
      <c r="G109" s="44">
        <v>100250</v>
      </c>
      <c r="H109" s="44">
        <v>38707</v>
      </c>
      <c r="I109" s="45">
        <v>6.7000000000000002E-4</v>
      </c>
      <c r="L109" t="str">
        <f>VLOOKUP(D109,Сountries!V:Z,2,0)</f>
        <v>Europe</v>
      </c>
      <c r="M109" t="str">
        <f>VLOOKUP(D109,Сountries!V:Z,5,0)</f>
        <v>🇮🇸</v>
      </c>
    </row>
    <row r="110" spans="1:13" x14ac:dyDescent="0.2">
      <c r="A110" s="43">
        <v>109</v>
      </c>
      <c r="B110" s="43" t="s">
        <v>624</v>
      </c>
      <c r="C110" s="43" t="s">
        <v>524</v>
      </c>
      <c r="D110" s="43" t="s">
        <v>32</v>
      </c>
      <c r="E110" s="44">
        <v>100210</v>
      </c>
      <c r="F110" s="44">
        <v>38691</v>
      </c>
      <c r="G110" s="44">
        <v>97230</v>
      </c>
      <c r="H110" s="44">
        <v>37541</v>
      </c>
      <c r="I110" s="45">
        <v>6.4999999999999997E-4</v>
      </c>
      <c r="L110" t="str">
        <f>VLOOKUP(D110,Сountries!V:Z,2,0)</f>
        <v>Asia</v>
      </c>
      <c r="M110" t="str">
        <f>VLOOKUP(D110,Сountries!V:Z,5,0)</f>
        <v>🇰🇷</v>
      </c>
    </row>
    <row r="111" spans="1:13" x14ac:dyDescent="0.2">
      <c r="A111" s="43">
        <v>110</v>
      </c>
      <c r="B111" s="43" t="s">
        <v>626</v>
      </c>
      <c r="C111" s="43" t="s">
        <v>595</v>
      </c>
      <c r="D111" s="43" t="s">
        <v>99</v>
      </c>
      <c r="E111" s="44">
        <v>93028</v>
      </c>
      <c r="F111" s="44">
        <v>35918</v>
      </c>
      <c r="G111" s="44">
        <v>90530</v>
      </c>
      <c r="H111" s="44">
        <v>34954</v>
      </c>
      <c r="I111" s="45">
        <v>6.0999999999999997E-4</v>
      </c>
      <c r="L111" t="str">
        <f>VLOOKUP(D111,Сountries!V:Z,2,0)</f>
        <v>Europe</v>
      </c>
      <c r="M111" t="str">
        <f>VLOOKUP(D111,Сountries!V:Z,5,0)</f>
        <v>🇭🇺</v>
      </c>
    </row>
    <row r="112" spans="1:13" x14ac:dyDescent="0.2">
      <c r="A112" s="43">
        <v>111</v>
      </c>
      <c r="B112" s="43" t="s">
        <v>626</v>
      </c>
      <c r="C112" s="43" t="s">
        <v>591</v>
      </c>
      <c r="D112" s="43" t="s">
        <v>95</v>
      </c>
      <c r="E112" s="44">
        <v>92090</v>
      </c>
      <c r="F112" s="44">
        <v>35556</v>
      </c>
      <c r="G112" s="44">
        <v>91590</v>
      </c>
      <c r="H112" s="44">
        <v>35363</v>
      </c>
      <c r="I112" s="45">
        <v>6.0999999999999997E-4</v>
      </c>
      <c r="L112" t="str">
        <f>VLOOKUP(D112,Сountries!V:Z,2,0)</f>
        <v>Europe</v>
      </c>
      <c r="M112" t="str">
        <f>VLOOKUP(D112,Сountries!V:Z,5,0)</f>
        <v>🇵🇹</v>
      </c>
    </row>
    <row r="113" spans="1:13" x14ac:dyDescent="0.2">
      <c r="A113" s="43">
        <v>112</v>
      </c>
      <c r="B113" s="43" t="s">
        <v>624</v>
      </c>
      <c r="C113" s="43" t="s">
        <v>582</v>
      </c>
      <c r="D113" s="43" t="s">
        <v>86</v>
      </c>
      <c r="E113" s="44">
        <v>89342</v>
      </c>
      <c r="F113" s="44">
        <v>34495</v>
      </c>
      <c r="G113" s="44">
        <v>88780</v>
      </c>
      <c r="H113" s="44">
        <v>34278</v>
      </c>
      <c r="I113" s="45">
        <v>5.9999999999999995E-4</v>
      </c>
      <c r="L113" t="str">
        <f>VLOOKUP(D113,Сountries!V:Z,2,0)</f>
        <v>Asia</v>
      </c>
      <c r="M113" t="str">
        <f>VLOOKUP(D113,Сountries!V:Z,5,0)</f>
        <v>🇯🇴</v>
      </c>
    </row>
    <row r="114" spans="1:13" x14ac:dyDescent="0.2">
      <c r="A114" s="43">
        <v>113</v>
      </c>
      <c r="B114" s="43" t="s">
        <v>626</v>
      </c>
      <c r="C114" s="43" t="s">
        <v>1237</v>
      </c>
      <c r="D114" s="43" t="s">
        <v>112</v>
      </c>
      <c r="E114" s="44">
        <v>88361</v>
      </c>
      <c r="F114" s="44">
        <v>34116</v>
      </c>
      <c r="G114" s="44">
        <v>87460</v>
      </c>
      <c r="H114" s="44">
        <v>33768</v>
      </c>
      <c r="I114" s="45">
        <v>5.9000000000000003E-4</v>
      </c>
      <c r="L114" t="str">
        <f>VLOOKUP(D114,Сountries!V:Z,2,0)</f>
        <v>Europe</v>
      </c>
      <c r="M114" t="str">
        <f>VLOOKUP(D114,Сountries!V:Z,5,0)</f>
        <v>🇷🇸</v>
      </c>
    </row>
    <row r="115" spans="1:13" x14ac:dyDescent="0.2">
      <c r="A115" s="43">
        <v>114</v>
      </c>
      <c r="B115" s="43" t="s">
        <v>624</v>
      </c>
      <c r="C115" s="43" t="s">
        <v>592</v>
      </c>
      <c r="D115" s="43" t="s">
        <v>96</v>
      </c>
      <c r="E115" s="44">
        <v>86600</v>
      </c>
      <c r="F115" s="44">
        <v>33436</v>
      </c>
      <c r="G115" s="44">
        <v>82658</v>
      </c>
      <c r="H115" s="44">
        <v>31914</v>
      </c>
      <c r="I115" s="45">
        <v>5.5000000000000003E-4</v>
      </c>
      <c r="L115" t="str">
        <f>VLOOKUP(D115,Сountries!V:Z,2,0)</f>
        <v>Asia</v>
      </c>
      <c r="M115" t="str">
        <f>VLOOKUP(D115,Сountries!V:Z,5,0)</f>
        <v>🇦🇿</v>
      </c>
    </row>
    <row r="116" spans="1:13" x14ac:dyDescent="0.2">
      <c r="A116" s="43">
        <v>115</v>
      </c>
      <c r="B116" s="43" t="s">
        <v>626</v>
      </c>
      <c r="C116" s="43" t="s">
        <v>557</v>
      </c>
      <c r="D116" s="43" t="s">
        <v>101</v>
      </c>
      <c r="E116" s="44">
        <v>83871</v>
      </c>
      <c r="F116" s="44">
        <v>32383</v>
      </c>
      <c r="G116" s="44">
        <v>82409</v>
      </c>
      <c r="H116" s="44">
        <v>31818</v>
      </c>
      <c r="I116" s="45">
        <v>5.5000000000000003E-4</v>
      </c>
      <c r="L116" t="str">
        <f>VLOOKUP(D116,Сountries!V:Z,2,0)</f>
        <v>Europe</v>
      </c>
      <c r="M116" t="str">
        <f>VLOOKUP(D116,Сountries!V:Z,5,0)</f>
        <v>🇦🇹</v>
      </c>
    </row>
    <row r="117" spans="1:13" x14ac:dyDescent="0.2">
      <c r="A117" s="43">
        <v>116</v>
      </c>
      <c r="B117" s="43" t="s">
        <v>624</v>
      </c>
      <c r="C117" s="43" t="s">
        <v>517</v>
      </c>
      <c r="D117" s="43" t="s">
        <v>88</v>
      </c>
      <c r="E117" s="44">
        <v>83600</v>
      </c>
      <c r="F117" s="44">
        <v>32278</v>
      </c>
      <c r="G117" s="44">
        <v>83600</v>
      </c>
      <c r="H117" s="44">
        <v>32278</v>
      </c>
      <c r="I117" s="45">
        <v>5.5999999999999995E-4</v>
      </c>
      <c r="L117" t="str">
        <f>VLOOKUP(D117,Сountries!V:Z,2,0)</f>
        <v>Asia</v>
      </c>
      <c r="M117" t="str">
        <f>VLOOKUP(D117,Сountries!V:Z,5,0)</f>
        <v>🇦🇪</v>
      </c>
    </row>
    <row r="118" spans="1:13" x14ac:dyDescent="0.2">
      <c r="A118" s="43">
        <v>117</v>
      </c>
      <c r="B118" s="43" t="s">
        <v>625</v>
      </c>
      <c r="C118" s="43" t="s">
        <v>573</v>
      </c>
      <c r="D118" s="43" t="s">
        <v>398</v>
      </c>
      <c r="E118" s="44">
        <v>83534</v>
      </c>
      <c r="F118" s="44">
        <v>32253</v>
      </c>
      <c r="G118" s="44">
        <v>82200</v>
      </c>
      <c r="H118" s="44">
        <v>31738</v>
      </c>
      <c r="I118" s="45">
        <v>5.5000000000000003E-4</v>
      </c>
      <c r="L118" t="str">
        <f>VLOOKUP(D118,Сountries!V:Z,2,0)</f>
        <v>America</v>
      </c>
      <c r="M118" t="str">
        <f>VLOOKUP(D118,Сountries!V:Z,5,0)</f>
        <v>🇬🇫</v>
      </c>
    </row>
    <row r="119" spans="1:13" x14ac:dyDescent="0.2">
      <c r="A119" s="43">
        <v>118</v>
      </c>
      <c r="B119" s="43" t="s">
        <v>626</v>
      </c>
      <c r="C119" s="43" t="s">
        <v>590</v>
      </c>
      <c r="D119" s="43" t="s">
        <v>1320</v>
      </c>
      <c r="E119" s="44">
        <v>78865</v>
      </c>
      <c r="F119" s="44">
        <v>30450</v>
      </c>
      <c r="G119" s="44">
        <v>77240</v>
      </c>
      <c r="H119" s="44">
        <v>29823</v>
      </c>
      <c r="I119" s="45">
        <v>5.1999999999999995E-4</v>
      </c>
      <c r="L119" t="str">
        <f>VLOOKUP(D119,Сountries!V:Z,2,0)</f>
        <v>Europe</v>
      </c>
      <c r="M119" t="str">
        <f>VLOOKUP(D119,Сountries!V:Z,5,0)</f>
        <v>🇨🇿</v>
      </c>
    </row>
    <row r="120" spans="1:13" x14ac:dyDescent="0.2">
      <c r="A120" s="43">
        <v>119</v>
      </c>
      <c r="B120" s="43" t="s">
        <v>625</v>
      </c>
      <c r="C120" s="43" t="s">
        <v>1253</v>
      </c>
      <c r="D120" s="43" t="s">
        <v>130</v>
      </c>
      <c r="E120" s="44">
        <v>75417</v>
      </c>
      <c r="F120" s="44">
        <v>29119</v>
      </c>
      <c r="G120" s="44">
        <v>74340</v>
      </c>
      <c r="H120" s="44">
        <v>28703</v>
      </c>
      <c r="I120" s="45">
        <v>5.0000000000000001E-4</v>
      </c>
      <c r="L120" t="str">
        <f>VLOOKUP(D120,Сountries!V:Z,2,0)</f>
        <v>America</v>
      </c>
      <c r="M120" t="str">
        <f>VLOOKUP(D120,Сountries!V:Z,5,0)</f>
        <v>🇵🇦</v>
      </c>
    </row>
    <row r="121" spans="1:13" x14ac:dyDescent="0.2">
      <c r="A121" s="43">
        <v>120</v>
      </c>
      <c r="B121" s="43" t="s">
        <v>627</v>
      </c>
      <c r="C121" s="43" t="s">
        <v>600</v>
      </c>
      <c r="D121" s="43" t="s">
        <v>104</v>
      </c>
      <c r="E121" s="44">
        <v>71740</v>
      </c>
      <c r="F121" s="44">
        <v>27699</v>
      </c>
      <c r="G121" s="44">
        <v>72180</v>
      </c>
      <c r="H121" s="44">
        <v>27869</v>
      </c>
      <c r="I121" s="45">
        <v>4.8000000000000001E-4</v>
      </c>
      <c r="L121" t="str">
        <f>VLOOKUP(D121,Сountries!V:Z,2,0)</f>
        <v>Africa</v>
      </c>
      <c r="M121" t="str">
        <f>VLOOKUP(D121,Сountries!V:Z,5,0)</f>
        <v>🇸🇱</v>
      </c>
    </row>
    <row r="122" spans="1:13" x14ac:dyDescent="0.2">
      <c r="A122" s="43">
        <v>121</v>
      </c>
      <c r="B122" s="43" t="s">
        <v>626</v>
      </c>
      <c r="C122" s="43" t="s">
        <v>1249</v>
      </c>
      <c r="D122" s="43" t="s">
        <v>126</v>
      </c>
      <c r="E122" s="44">
        <v>70273</v>
      </c>
      <c r="F122" s="44">
        <v>27133</v>
      </c>
      <c r="G122" s="44">
        <v>68890</v>
      </c>
      <c r="H122" s="44">
        <v>26599</v>
      </c>
      <c r="I122" s="45">
        <v>4.6000000000000001E-4</v>
      </c>
      <c r="L122" t="str">
        <f>VLOOKUP(D122,Сountries!V:Z,2,0)</f>
        <v>Europe</v>
      </c>
      <c r="M122" t="str">
        <f>VLOOKUP(D122,Сountries!V:Z,5,0)</f>
        <v>🇮🇪</v>
      </c>
    </row>
    <row r="123" spans="1:13" x14ac:dyDescent="0.2">
      <c r="A123" s="43">
        <v>122</v>
      </c>
      <c r="B123" s="43" t="s">
        <v>624</v>
      </c>
      <c r="C123" s="43" t="s">
        <v>1255</v>
      </c>
      <c r="D123" s="43" t="s">
        <v>132</v>
      </c>
      <c r="E123" s="44">
        <v>69700</v>
      </c>
      <c r="F123" s="44">
        <v>26911</v>
      </c>
      <c r="G123" s="44">
        <v>69490</v>
      </c>
      <c r="H123" s="44">
        <v>26830</v>
      </c>
      <c r="I123" s="45">
        <v>4.6999999999999999E-4</v>
      </c>
      <c r="L123" t="str">
        <f>VLOOKUP(D123,Сountries!V:Z,2,0)</f>
        <v>Asia</v>
      </c>
      <c r="M123" t="str">
        <f>VLOOKUP(D123,Сountries!V:Z,5,0)</f>
        <v>🇬🇪</v>
      </c>
    </row>
    <row r="124" spans="1:13" x14ac:dyDescent="0.2">
      <c r="A124" s="43">
        <v>123</v>
      </c>
      <c r="B124" s="43" t="s">
        <v>624</v>
      </c>
      <c r="C124" s="43" t="s">
        <v>560</v>
      </c>
      <c r="D124" s="43" t="s">
        <v>63</v>
      </c>
      <c r="E124" s="44">
        <v>65610</v>
      </c>
      <c r="F124" s="44">
        <v>25332</v>
      </c>
      <c r="G124" s="44">
        <v>62710</v>
      </c>
      <c r="H124" s="44">
        <v>24212</v>
      </c>
      <c r="I124" s="45">
        <v>4.2000000000000002E-4</v>
      </c>
      <c r="L124" t="str">
        <f>VLOOKUP(D124,Сountries!V:Z,2,0)</f>
        <v>Asia</v>
      </c>
      <c r="M124" t="str">
        <f>VLOOKUP(D124,Сountries!V:Z,5,0)</f>
        <v>🇱🇰</v>
      </c>
    </row>
    <row r="125" spans="1:13" x14ac:dyDescent="0.2">
      <c r="A125" s="43">
        <v>124</v>
      </c>
      <c r="B125" s="43" t="s">
        <v>626</v>
      </c>
      <c r="C125" s="43" t="s">
        <v>1264</v>
      </c>
      <c r="D125" s="43" t="s">
        <v>142</v>
      </c>
      <c r="E125" s="44">
        <v>65300</v>
      </c>
      <c r="F125" s="44">
        <v>25212</v>
      </c>
      <c r="G125" s="44">
        <v>62674</v>
      </c>
      <c r="H125" s="44">
        <v>24199</v>
      </c>
      <c r="I125" s="45">
        <v>4.2000000000000002E-4</v>
      </c>
      <c r="L125" t="str">
        <f>VLOOKUP(D125,Сountries!V:Z,2,0)</f>
        <v>Europe</v>
      </c>
      <c r="M125" t="str">
        <f>VLOOKUP(D125,Сountries!V:Z,5,0)</f>
        <v>🇱🇹</v>
      </c>
    </row>
    <row r="126" spans="1:13" x14ac:dyDescent="0.2">
      <c r="A126" s="43">
        <v>125</v>
      </c>
      <c r="B126" s="43" t="s">
        <v>626</v>
      </c>
      <c r="C126" s="43" t="s">
        <v>1273</v>
      </c>
      <c r="D126" s="43" t="s">
        <v>151</v>
      </c>
      <c r="E126" s="44">
        <v>64559</v>
      </c>
      <c r="F126" s="44">
        <v>24926</v>
      </c>
      <c r="G126" s="44">
        <v>62200</v>
      </c>
      <c r="H126" s="44">
        <v>24016</v>
      </c>
      <c r="I126" s="45">
        <v>4.2000000000000002E-4</v>
      </c>
      <c r="L126" t="str">
        <f>VLOOKUP(D126,Сountries!V:Z,2,0)</f>
        <v>Europe</v>
      </c>
      <c r="M126" t="str">
        <f>VLOOKUP(D126,Сountries!V:Z,5,0)</f>
        <v>🇱🇻</v>
      </c>
    </row>
    <row r="127" spans="1:13" x14ac:dyDescent="0.2">
      <c r="A127" s="43">
        <v>126</v>
      </c>
      <c r="B127" s="43" t="s">
        <v>627</v>
      </c>
      <c r="C127" s="43" t="s">
        <v>594</v>
      </c>
      <c r="D127" s="43" t="s">
        <v>98</v>
      </c>
      <c r="E127" s="44">
        <v>56785</v>
      </c>
      <c r="F127" s="44">
        <v>21925</v>
      </c>
      <c r="G127" s="44">
        <v>54390</v>
      </c>
      <c r="H127" s="44">
        <v>21000</v>
      </c>
      <c r="I127" s="45">
        <v>3.6999999999999999E-4</v>
      </c>
      <c r="L127" t="str">
        <f>VLOOKUP(D127,Сountries!V:Z,2,0)</f>
        <v>Africa</v>
      </c>
      <c r="M127" t="str">
        <f>VLOOKUP(D127,Сountries!V:Z,5,0)</f>
        <v>🇹🇬</v>
      </c>
    </row>
    <row r="128" spans="1:13" x14ac:dyDescent="0.2">
      <c r="A128" s="43">
        <v>127</v>
      </c>
      <c r="B128" s="43" t="s">
        <v>626</v>
      </c>
      <c r="C128" s="43" t="s">
        <v>1254</v>
      </c>
      <c r="D128" s="43" t="s">
        <v>131</v>
      </c>
      <c r="E128" s="44">
        <v>56594</v>
      </c>
      <c r="F128" s="44">
        <v>21851</v>
      </c>
      <c r="G128" s="44">
        <v>55960</v>
      </c>
      <c r="H128" s="44">
        <v>21606</v>
      </c>
      <c r="I128" s="45">
        <v>3.8000000000000002E-4</v>
      </c>
      <c r="L128" t="str">
        <f>VLOOKUP(D128,Сountries!V:Z,2,0)</f>
        <v>Europe</v>
      </c>
      <c r="M128" t="str">
        <f>VLOOKUP(D128,Сountries!V:Z,5,0)</f>
        <v>🇭🇷</v>
      </c>
    </row>
    <row r="129" spans="1:13" x14ac:dyDescent="0.2">
      <c r="A129" s="43">
        <v>128</v>
      </c>
      <c r="B129" s="43" t="s">
        <v>626</v>
      </c>
      <c r="C129" s="43" t="s">
        <v>1258</v>
      </c>
      <c r="D129" s="43" t="s">
        <v>136</v>
      </c>
      <c r="E129" s="44">
        <v>51209</v>
      </c>
      <c r="F129" s="44">
        <v>19772</v>
      </c>
      <c r="G129" s="44">
        <v>51000</v>
      </c>
      <c r="H129" s="44">
        <v>19691</v>
      </c>
      <c r="I129" s="45">
        <v>3.4000000000000002E-4</v>
      </c>
      <c r="L129" t="str">
        <f>VLOOKUP(D129,Сountries!V:Z,2,0)</f>
        <v>Europe</v>
      </c>
      <c r="M129" t="str">
        <f>VLOOKUP(D129,Сountries!V:Z,5,0)</f>
        <v>🇧🇦</v>
      </c>
    </row>
    <row r="130" spans="1:13" x14ac:dyDescent="0.2">
      <c r="A130" s="43">
        <v>129</v>
      </c>
      <c r="B130" s="43" t="s">
        <v>625</v>
      </c>
      <c r="C130" s="43" t="s">
        <v>1251</v>
      </c>
      <c r="D130" s="43" t="s">
        <v>128</v>
      </c>
      <c r="E130" s="44">
        <v>51100</v>
      </c>
      <c r="F130" s="44">
        <v>19730</v>
      </c>
      <c r="G130" s="44">
        <v>51060</v>
      </c>
      <c r="H130" s="44">
        <v>19714</v>
      </c>
      <c r="I130" s="45">
        <v>3.4000000000000002E-4</v>
      </c>
      <c r="L130" t="str">
        <f>VLOOKUP(D130,Сountries!V:Z,2,0)</f>
        <v>America</v>
      </c>
      <c r="M130" t="str">
        <f>VLOOKUP(D130,Сountries!V:Z,5,0)</f>
        <v>🇨🇷</v>
      </c>
    </row>
    <row r="131" spans="1:13" x14ac:dyDescent="0.2">
      <c r="A131" s="43">
        <v>130</v>
      </c>
      <c r="B131" s="43" t="s">
        <v>626</v>
      </c>
      <c r="C131" s="43" t="s">
        <v>1248</v>
      </c>
      <c r="D131" s="43" t="s">
        <v>124</v>
      </c>
      <c r="E131" s="44">
        <v>49037</v>
      </c>
      <c r="F131" s="44">
        <v>18933</v>
      </c>
      <c r="G131" s="44">
        <v>48088</v>
      </c>
      <c r="H131" s="44">
        <v>18567</v>
      </c>
      <c r="I131" s="45">
        <v>3.2000000000000003E-4</v>
      </c>
      <c r="L131" t="str">
        <f>VLOOKUP(D131,Сountries!V:Z,2,0)</f>
        <v>Europe</v>
      </c>
      <c r="M131" t="str">
        <f>VLOOKUP(D131,Сountries!V:Z,5,0)</f>
        <v>🇸🇰</v>
      </c>
    </row>
    <row r="132" spans="1:13" x14ac:dyDescent="0.2">
      <c r="A132" s="43">
        <v>131</v>
      </c>
      <c r="B132" s="43" t="s">
        <v>628</v>
      </c>
      <c r="C132" s="43" t="s">
        <v>583</v>
      </c>
      <c r="D132" s="43" t="s">
        <v>87</v>
      </c>
      <c r="E132" s="44">
        <v>48671</v>
      </c>
      <c r="F132" s="44">
        <v>18792</v>
      </c>
      <c r="G132" s="44">
        <v>48320</v>
      </c>
      <c r="H132" s="44">
        <v>18656</v>
      </c>
      <c r="I132" s="45">
        <v>3.2000000000000003E-4</v>
      </c>
      <c r="L132" t="str">
        <f>VLOOKUP(D132,Сountries!V:Z,2,0)</f>
        <v>Oceania</v>
      </c>
      <c r="M132" t="str">
        <f>VLOOKUP(D132,Сountries!V:Z,5,0)</f>
        <v>🇩🇴</v>
      </c>
    </row>
    <row r="133" spans="1:13" x14ac:dyDescent="0.2">
      <c r="A133" s="43">
        <v>132</v>
      </c>
      <c r="B133" s="43" t="s">
        <v>626</v>
      </c>
      <c r="C133" s="43" t="s">
        <v>1279</v>
      </c>
      <c r="D133" s="43" t="s">
        <v>157</v>
      </c>
      <c r="E133" s="44">
        <v>45227</v>
      </c>
      <c r="F133" s="44">
        <v>17462</v>
      </c>
      <c r="G133" s="44">
        <v>42390</v>
      </c>
      <c r="H133" s="44">
        <v>16367</v>
      </c>
      <c r="I133" s="45">
        <v>2.7999999999999998E-4</v>
      </c>
      <c r="L133" t="str">
        <f>VLOOKUP(D133,Сountries!V:Z,2,0)</f>
        <v>Europe</v>
      </c>
      <c r="M133" t="str">
        <f>VLOOKUP(D133,Сountries!V:Z,5,0)</f>
        <v>🇪🇪</v>
      </c>
    </row>
    <row r="134" spans="1:13" x14ac:dyDescent="0.2">
      <c r="A134" s="43">
        <v>133</v>
      </c>
      <c r="B134" s="43" t="s">
        <v>626</v>
      </c>
      <c r="C134" s="43" t="s">
        <v>1240</v>
      </c>
      <c r="D134" s="43" t="s">
        <v>115</v>
      </c>
      <c r="E134" s="44">
        <v>43094</v>
      </c>
      <c r="F134" s="44">
        <v>16639</v>
      </c>
      <c r="G134" s="44">
        <v>42430</v>
      </c>
      <c r="H134" s="44">
        <v>16382</v>
      </c>
      <c r="I134" s="45">
        <v>2.7999999999999998E-4</v>
      </c>
      <c r="L134" t="str">
        <f>VLOOKUP(D134,Сountries!V:Z,2,0)</f>
        <v>Europe</v>
      </c>
      <c r="M134" t="str">
        <f>VLOOKUP(D134,Сountries!V:Z,5,0)</f>
        <v>🇩🇰</v>
      </c>
    </row>
    <row r="135" spans="1:13" x14ac:dyDescent="0.2">
      <c r="A135" s="43">
        <v>134</v>
      </c>
      <c r="B135" s="43" t="s">
        <v>626</v>
      </c>
      <c r="C135" s="43" t="s">
        <v>569</v>
      </c>
      <c r="D135" s="43" t="s">
        <v>73</v>
      </c>
      <c r="E135" s="44">
        <v>41850</v>
      </c>
      <c r="F135" s="44">
        <v>16158</v>
      </c>
      <c r="G135" s="44">
        <v>33720</v>
      </c>
      <c r="H135" s="44">
        <v>13019</v>
      </c>
      <c r="I135" s="45">
        <v>2.3000000000000001E-4</v>
      </c>
      <c r="L135" t="str">
        <f>VLOOKUP(D135,Сountries!V:Z,2,0)</f>
        <v>Europe</v>
      </c>
      <c r="M135" t="str">
        <f>VLOOKUP(D135,Сountries!V:Z,5,0)</f>
        <v>🇳🇱</v>
      </c>
    </row>
    <row r="136" spans="1:13" x14ac:dyDescent="0.2">
      <c r="A136" s="43">
        <v>135</v>
      </c>
      <c r="B136" s="43" t="s">
        <v>626</v>
      </c>
      <c r="C136" s="43" t="s">
        <v>599</v>
      </c>
      <c r="D136" s="43" t="s">
        <v>103</v>
      </c>
      <c r="E136" s="44">
        <v>41284</v>
      </c>
      <c r="F136" s="44">
        <v>15940</v>
      </c>
      <c r="G136" s="44">
        <v>39516</v>
      </c>
      <c r="H136" s="44">
        <v>15257</v>
      </c>
      <c r="I136" s="45">
        <v>2.7E-4</v>
      </c>
      <c r="L136" t="str">
        <f>VLOOKUP(D136,Сountries!V:Z,2,0)</f>
        <v>Europe</v>
      </c>
      <c r="M136" t="str">
        <f>VLOOKUP(D136,Сountries!V:Z,5,0)</f>
        <v>🇨🇭</v>
      </c>
    </row>
    <row r="137" spans="1:13" x14ac:dyDescent="0.2">
      <c r="A137" s="43">
        <v>136</v>
      </c>
      <c r="B137" s="43" t="s">
        <v>624</v>
      </c>
      <c r="C137" s="43" t="s">
        <v>1286</v>
      </c>
      <c r="D137" s="43" t="s">
        <v>165</v>
      </c>
      <c r="E137" s="44">
        <v>38394</v>
      </c>
      <c r="F137" s="44">
        <v>14824</v>
      </c>
      <c r="G137" s="44">
        <v>38117</v>
      </c>
      <c r="H137" s="44">
        <v>14717</v>
      </c>
      <c r="I137" s="45">
        <v>2.5999999999999998E-4</v>
      </c>
      <c r="L137" t="str">
        <f>VLOOKUP(D137,Сountries!V:Z,2,0)</f>
        <v>Asia</v>
      </c>
      <c r="M137" t="str">
        <f>VLOOKUP(D137,Сountries!V:Z,5,0)</f>
        <v>🇧🇹</v>
      </c>
    </row>
    <row r="138" spans="1:13" x14ac:dyDescent="0.2">
      <c r="A138" s="43">
        <v>137</v>
      </c>
      <c r="B138" s="43" t="s">
        <v>624</v>
      </c>
      <c r="C138" s="43" t="s">
        <v>1329</v>
      </c>
      <c r="D138" s="43" t="s">
        <v>257</v>
      </c>
      <c r="E138" s="44">
        <v>36193</v>
      </c>
      <c r="F138" s="44">
        <v>13974</v>
      </c>
      <c r="G138" s="44">
        <v>35410</v>
      </c>
      <c r="H138" s="44">
        <v>13672</v>
      </c>
      <c r="I138" s="45">
        <v>2.4000000000000001E-4</v>
      </c>
      <c r="L138" t="str">
        <f>VLOOKUP(D138,Сountries!V:Z,2,0)</f>
        <v>Asia</v>
      </c>
      <c r="M138" t="str">
        <f>VLOOKUP(D138,Сountries!V:Z,5,0)</f>
        <v>🇹🇼</v>
      </c>
    </row>
    <row r="139" spans="1:13" x14ac:dyDescent="0.2">
      <c r="A139" s="43">
        <v>138</v>
      </c>
      <c r="B139" s="43" t="s">
        <v>627</v>
      </c>
      <c r="C139" s="43" t="s">
        <v>1270</v>
      </c>
      <c r="D139" s="43" t="s">
        <v>148</v>
      </c>
      <c r="E139" s="44">
        <v>36125</v>
      </c>
      <c r="F139" s="44">
        <v>13948</v>
      </c>
      <c r="G139" s="44">
        <v>28120</v>
      </c>
      <c r="H139" s="44">
        <v>10857</v>
      </c>
      <c r="I139" s="45">
        <v>1.9000000000000001E-4</v>
      </c>
      <c r="L139" t="str">
        <f>VLOOKUP(D139,Сountries!V:Z,2,0)</f>
        <v>Africa</v>
      </c>
      <c r="M139" t="str">
        <f>VLOOKUP(D139,Сountries!V:Z,5,0)</f>
        <v>🇬🇳</v>
      </c>
    </row>
    <row r="140" spans="1:13" x14ac:dyDescent="0.2">
      <c r="A140" s="43">
        <v>139</v>
      </c>
      <c r="B140" s="43" t="s">
        <v>626</v>
      </c>
      <c r="C140" s="43" t="s">
        <v>1261</v>
      </c>
      <c r="D140" s="43" t="s">
        <v>139</v>
      </c>
      <c r="E140" s="44">
        <v>33846</v>
      </c>
      <c r="F140" s="44">
        <v>13068</v>
      </c>
      <c r="G140" s="44">
        <v>32850</v>
      </c>
      <c r="H140" s="44">
        <v>12683</v>
      </c>
      <c r="I140" s="45">
        <v>2.2000000000000001E-4</v>
      </c>
      <c r="L140" t="str">
        <f>VLOOKUP(D140,Сountries!V:Z,2,0)</f>
        <v>Europe</v>
      </c>
      <c r="M140" t="str">
        <f>VLOOKUP(D140,Сountries!V:Z,5,0)</f>
        <v>🇲🇩</v>
      </c>
    </row>
    <row r="141" spans="1:13" x14ac:dyDescent="0.2">
      <c r="A141" s="43">
        <v>140</v>
      </c>
      <c r="B141" s="43" t="s">
        <v>626</v>
      </c>
      <c r="C141" s="43" t="s">
        <v>581</v>
      </c>
      <c r="D141" s="43" t="s">
        <v>85</v>
      </c>
      <c r="E141" s="44">
        <v>30528</v>
      </c>
      <c r="F141" s="44">
        <v>11787</v>
      </c>
      <c r="G141" s="44">
        <v>30280</v>
      </c>
      <c r="H141" s="44">
        <v>11691</v>
      </c>
      <c r="I141" s="45">
        <v>2.0000000000000001E-4</v>
      </c>
      <c r="L141" t="str">
        <f>VLOOKUP(D141,Сountries!V:Z,2,0)</f>
        <v>Europe</v>
      </c>
      <c r="M141" t="str">
        <f>VLOOKUP(D141,Сountries!V:Z,5,0)</f>
        <v>🇧🇪</v>
      </c>
    </row>
    <row r="142" spans="1:13" x14ac:dyDescent="0.2">
      <c r="A142" s="43">
        <v>141</v>
      </c>
      <c r="B142" s="43" t="s">
        <v>627</v>
      </c>
      <c r="C142" s="43" t="s">
        <v>1269</v>
      </c>
      <c r="D142" s="43" t="s">
        <v>147</v>
      </c>
      <c r="E142" s="44">
        <v>30355</v>
      </c>
      <c r="F142" s="44">
        <v>11720</v>
      </c>
      <c r="G142" s="44">
        <v>30360</v>
      </c>
      <c r="H142" s="44">
        <v>11722</v>
      </c>
      <c r="I142" s="45">
        <v>2.0000000000000001E-4</v>
      </c>
      <c r="L142" t="str">
        <f>VLOOKUP(D142,Сountries!V:Z,2,0)</f>
        <v>Africa</v>
      </c>
      <c r="M142" t="str">
        <f>VLOOKUP(D142,Сountries!V:Z,5,0)</f>
        <v>🇱🇸</v>
      </c>
    </row>
    <row r="143" spans="1:13" x14ac:dyDescent="0.2">
      <c r="A143" s="43">
        <v>142</v>
      </c>
      <c r="B143" s="43" t="s">
        <v>624</v>
      </c>
      <c r="C143" s="43" t="s">
        <v>1262</v>
      </c>
      <c r="D143" s="43" t="s">
        <v>140</v>
      </c>
      <c r="E143" s="44">
        <v>29743</v>
      </c>
      <c r="F143" s="44">
        <v>11484</v>
      </c>
      <c r="G143" s="44">
        <v>28470</v>
      </c>
      <c r="H143" s="44">
        <v>10992</v>
      </c>
      <c r="I143" s="45">
        <v>1.9000000000000001E-4</v>
      </c>
      <c r="L143" t="str">
        <f>VLOOKUP(D143,Сountries!V:Z,2,0)</f>
        <v>Asia</v>
      </c>
      <c r="M143" t="str">
        <f>VLOOKUP(D143,Сountries!V:Z,5,0)</f>
        <v>🇦🇲</v>
      </c>
    </row>
    <row r="144" spans="1:13" x14ac:dyDescent="0.2">
      <c r="A144" s="43">
        <v>143</v>
      </c>
      <c r="B144" s="43" t="s">
        <v>628</v>
      </c>
      <c r="C144" s="43" t="s">
        <v>1284</v>
      </c>
      <c r="D144" s="43" t="s">
        <v>163</v>
      </c>
      <c r="E144" s="44">
        <v>28896</v>
      </c>
      <c r="F144" s="44">
        <v>11157</v>
      </c>
      <c r="G144" s="44">
        <v>27990</v>
      </c>
      <c r="H144" s="44">
        <v>10807</v>
      </c>
      <c r="I144" s="45">
        <v>1.9000000000000001E-4</v>
      </c>
      <c r="L144" t="str">
        <f>VLOOKUP(D144,Сountries!V:Z,2,0)</f>
        <v>Oceania</v>
      </c>
      <c r="M144" t="str">
        <f>VLOOKUP(D144,Сountries!V:Z,5,0)</f>
        <v>🇸🇧</v>
      </c>
    </row>
    <row r="145" spans="1:13" x14ac:dyDescent="0.2">
      <c r="A145" s="43">
        <v>144</v>
      </c>
      <c r="B145" s="43" t="s">
        <v>626</v>
      </c>
      <c r="C145" s="43" t="s">
        <v>1266</v>
      </c>
      <c r="D145" s="43" t="s">
        <v>144</v>
      </c>
      <c r="E145" s="44">
        <v>28748</v>
      </c>
      <c r="F145" s="44">
        <v>11100</v>
      </c>
      <c r="G145" s="44">
        <v>27400</v>
      </c>
      <c r="H145" s="44">
        <v>10579</v>
      </c>
      <c r="I145" s="45">
        <v>1.8000000000000001E-4</v>
      </c>
      <c r="L145" t="str">
        <f>VLOOKUP(D145,Сountries!V:Z,2,0)</f>
        <v>Europe</v>
      </c>
      <c r="M145" t="str">
        <f>VLOOKUP(D145,Сountries!V:Z,5,0)</f>
        <v>🇦🇱</v>
      </c>
    </row>
    <row r="146" spans="1:13" x14ac:dyDescent="0.2">
      <c r="A146" s="43">
        <v>145</v>
      </c>
      <c r="B146" s="43" t="s">
        <v>627</v>
      </c>
      <c r="C146" s="43" t="s">
        <v>1272</v>
      </c>
      <c r="D146" s="43" t="s">
        <v>150</v>
      </c>
      <c r="E146" s="44">
        <v>28051</v>
      </c>
      <c r="F146" s="44">
        <v>10831</v>
      </c>
      <c r="G146" s="44">
        <v>28050</v>
      </c>
      <c r="H146" s="44">
        <v>10830</v>
      </c>
      <c r="I146" s="45">
        <v>1.9000000000000001E-4</v>
      </c>
      <c r="L146" t="str">
        <f>VLOOKUP(D146,Сountries!V:Z,2,0)</f>
        <v>Africa</v>
      </c>
      <c r="M146" t="str">
        <f>VLOOKUP(D146,Сountries!V:Z,5,0)</f>
        <v>🇬🇶</v>
      </c>
    </row>
    <row r="147" spans="1:13" x14ac:dyDescent="0.2">
      <c r="A147" s="43">
        <v>146</v>
      </c>
      <c r="B147" s="43" t="s">
        <v>627</v>
      </c>
      <c r="C147" s="43" t="s">
        <v>576</v>
      </c>
      <c r="D147" s="43" t="s">
        <v>80</v>
      </c>
      <c r="E147" s="44">
        <v>27834</v>
      </c>
      <c r="F147" s="44">
        <v>10747</v>
      </c>
      <c r="G147" s="44">
        <v>25680</v>
      </c>
      <c r="H147" s="44">
        <v>9915</v>
      </c>
      <c r="I147" s="45">
        <v>1.7000000000000001E-4</v>
      </c>
      <c r="L147" t="str">
        <f>VLOOKUP(D147,Сountries!V:Z,2,0)</f>
        <v>Africa</v>
      </c>
      <c r="M147" t="str">
        <f>VLOOKUP(D147,Сountries!V:Z,5,0)</f>
        <v>🇧🇮</v>
      </c>
    </row>
    <row r="148" spans="1:13" x14ac:dyDescent="0.2">
      <c r="A148" s="43">
        <v>147</v>
      </c>
      <c r="B148" s="43" t="s">
        <v>628</v>
      </c>
      <c r="C148" s="43" t="s">
        <v>580</v>
      </c>
      <c r="D148" s="43" t="s">
        <v>84</v>
      </c>
      <c r="E148" s="44">
        <v>27750</v>
      </c>
      <c r="F148" s="44">
        <v>10714</v>
      </c>
      <c r="G148" s="44">
        <v>27560</v>
      </c>
      <c r="H148" s="44">
        <v>10641</v>
      </c>
      <c r="I148" s="45">
        <v>1.9000000000000001E-4</v>
      </c>
      <c r="L148" t="str">
        <f>VLOOKUP(D148,Сountries!V:Z,2,0)</f>
        <v>Oceania</v>
      </c>
      <c r="M148" t="str">
        <f>VLOOKUP(D148,Сountries!V:Z,5,0)</f>
        <v>🇭🇹</v>
      </c>
    </row>
    <row r="149" spans="1:13" x14ac:dyDescent="0.2">
      <c r="A149" s="43">
        <v>148</v>
      </c>
      <c r="B149" s="43" t="s">
        <v>627</v>
      </c>
      <c r="C149" s="43" t="s">
        <v>575</v>
      </c>
      <c r="D149" s="43" t="s">
        <v>79</v>
      </c>
      <c r="E149" s="44">
        <v>26338</v>
      </c>
      <c r="F149" s="44">
        <v>10169</v>
      </c>
      <c r="G149" s="44">
        <v>24670</v>
      </c>
      <c r="H149" s="44">
        <v>9525</v>
      </c>
      <c r="I149" s="45">
        <v>1.7000000000000001E-4</v>
      </c>
      <c r="L149" t="str">
        <f>VLOOKUP(D149,Сountries!V:Z,2,0)</f>
        <v>Africa</v>
      </c>
      <c r="M149" t="str">
        <f>VLOOKUP(D149,Сountries!V:Z,5,0)</f>
        <v>🇷🇼</v>
      </c>
    </row>
    <row r="150" spans="1:13" x14ac:dyDescent="0.2">
      <c r="A150" s="43">
        <v>149</v>
      </c>
      <c r="B150" s="43" t="s">
        <v>626</v>
      </c>
      <c r="C150" s="43" t="s">
        <v>1274</v>
      </c>
      <c r="D150" s="43" t="s">
        <v>152</v>
      </c>
      <c r="E150" s="44">
        <v>25713</v>
      </c>
      <c r="F150" s="44">
        <v>9928</v>
      </c>
      <c r="G150" s="44">
        <v>25220</v>
      </c>
      <c r="H150" s="44">
        <v>9737</v>
      </c>
      <c r="I150" s="45">
        <v>1.7000000000000001E-4</v>
      </c>
      <c r="L150" t="str">
        <f>VLOOKUP(D150,Сountries!V:Z,2,0)</f>
        <v>Europe</v>
      </c>
      <c r="M150" t="str">
        <f>VLOOKUP(D150,Сountries!V:Z,5,0)</f>
        <v>🇲🇰</v>
      </c>
    </row>
    <row r="151" spans="1:13" x14ac:dyDescent="0.2">
      <c r="A151" s="43">
        <v>150</v>
      </c>
      <c r="B151" s="43" t="s">
        <v>627</v>
      </c>
      <c r="C151" s="43" t="s">
        <v>1281</v>
      </c>
      <c r="D151" s="43" t="s">
        <v>160</v>
      </c>
      <c r="E151" s="44">
        <v>23200</v>
      </c>
      <c r="F151" s="44">
        <v>8958</v>
      </c>
      <c r="G151" s="44">
        <v>23180</v>
      </c>
      <c r="H151" s="44">
        <v>8950</v>
      </c>
      <c r="I151" s="45">
        <v>1.6000000000000001E-4</v>
      </c>
      <c r="L151" t="str">
        <f>VLOOKUP(D151,Сountries!V:Z,2,0)</f>
        <v>Africa</v>
      </c>
      <c r="M151" t="str">
        <f>VLOOKUP(D151,Сountries!V:Z,5,0)</f>
        <v>🇩🇯</v>
      </c>
    </row>
    <row r="152" spans="1:13" x14ac:dyDescent="0.2">
      <c r="A152" s="43">
        <v>151</v>
      </c>
      <c r="B152" s="43" t="s">
        <v>625</v>
      </c>
      <c r="C152" s="43" t="s">
        <v>1292</v>
      </c>
      <c r="D152" s="43" t="s">
        <v>173</v>
      </c>
      <c r="E152" s="44">
        <v>22966</v>
      </c>
      <c r="F152" s="44">
        <v>8867</v>
      </c>
      <c r="G152" s="44">
        <v>22810</v>
      </c>
      <c r="H152" s="44">
        <v>8807</v>
      </c>
      <c r="I152" s="45">
        <v>1.4999999999999999E-4</v>
      </c>
      <c r="L152" t="str">
        <f>VLOOKUP(D152,Сountries!V:Z,2,0)</f>
        <v>America</v>
      </c>
      <c r="M152" t="str">
        <f>VLOOKUP(D152,Сountries!V:Z,5,0)</f>
        <v>🇧🇿</v>
      </c>
    </row>
    <row r="153" spans="1:13" x14ac:dyDescent="0.2">
      <c r="A153" s="43">
        <v>152</v>
      </c>
      <c r="B153" s="43" t="s">
        <v>625</v>
      </c>
      <c r="C153" s="43" t="s">
        <v>1239</v>
      </c>
      <c r="D153" s="43" t="s">
        <v>114</v>
      </c>
      <c r="E153" s="44">
        <v>21041</v>
      </c>
      <c r="F153" s="44">
        <v>8124</v>
      </c>
      <c r="G153" s="44">
        <v>20720</v>
      </c>
      <c r="H153" s="44">
        <v>8000</v>
      </c>
      <c r="I153" s="45">
        <v>1.3999999999999999E-4</v>
      </c>
      <c r="L153" t="str">
        <f>VLOOKUP(D153,Сountries!V:Z,2,0)</f>
        <v>America</v>
      </c>
      <c r="M153" t="str">
        <f>VLOOKUP(D153,Сountries!V:Z,5,0)</f>
        <v>🇸🇻</v>
      </c>
    </row>
    <row r="154" spans="1:13" x14ac:dyDescent="0.2">
      <c r="A154" s="43">
        <v>153</v>
      </c>
      <c r="B154" s="43" t="s">
        <v>624</v>
      </c>
      <c r="C154" s="43" t="s">
        <v>596</v>
      </c>
      <c r="D154" s="43" t="s">
        <v>100</v>
      </c>
      <c r="E154" s="44">
        <v>20770</v>
      </c>
      <c r="F154" s="44">
        <v>8019</v>
      </c>
      <c r="G154" s="44">
        <v>21640</v>
      </c>
      <c r="H154" s="44">
        <v>8355</v>
      </c>
      <c r="I154" s="45">
        <v>1.4999999999999999E-4</v>
      </c>
      <c r="L154" t="str">
        <f>VLOOKUP(D154,Сountries!V:Z,2,0)</f>
        <v>Asia</v>
      </c>
      <c r="M154" t="str">
        <f>VLOOKUP(D154,Сountries!V:Z,5,0)</f>
        <v>🇮🇱</v>
      </c>
    </row>
    <row r="155" spans="1:13" x14ac:dyDescent="0.2">
      <c r="A155" s="43">
        <v>154</v>
      </c>
      <c r="B155" s="43" t="s">
        <v>626</v>
      </c>
      <c r="C155" s="43" t="s">
        <v>1271</v>
      </c>
      <c r="D155" s="43" t="s">
        <v>149</v>
      </c>
      <c r="E155" s="44">
        <v>20273</v>
      </c>
      <c r="F155" s="44">
        <v>7827</v>
      </c>
      <c r="G155" s="44">
        <v>20140</v>
      </c>
      <c r="H155" s="44">
        <v>7776</v>
      </c>
      <c r="I155" s="45">
        <v>1.3999999999999999E-4</v>
      </c>
      <c r="L155" t="str">
        <f>VLOOKUP(D155,Сountries!V:Z,2,0)</f>
        <v>Europe</v>
      </c>
      <c r="M155" t="str">
        <f>VLOOKUP(D155,Сountries!V:Z,5,0)</f>
        <v>🇸🇮</v>
      </c>
    </row>
    <row r="156" spans="1:13" x14ac:dyDescent="0.2">
      <c r="A156" s="43">
        <v>155</v>
      </c>
      <c r="B156" s="43" t="s">
        <v>628</v>
      </c>
      <c r="C156" s="43" t="s">
        <v>1353</v>
      </c>
      <c r="D156" s="43" t="s">
        <v>400</v>
      </c>
      <c r="E156" s="44">
        <v>18575</v>
      </c>
      <c r="F156" s="44">
        <v>7172</v>
      </c>
      <c r="G156" s="44">
        <v>18280</v>
      </c>
      <c r="H156" s="44">
        <v>7058</v>
      </c>
      <c r="I156" s="45">
        <v>1.2E-4</v>
      </c>
      <c r="L156" t="str">
        <f>VLOOKUP(D156,Сountries!V:Z,2,0)</f>
        <v>Oceania</v>
      </c>
      <c r="M156" t="str">
        <f>VLOOKUP(D156,Сountries!V:Z,5,0)</f>
        <v>🇳🇨</v>
      </c>
    </row>
    <row r="157" spans="1:13" x14ac:dyDescent="0.2">
      <c r="A157" s="43">
        <v>156</v>
      </c>
      <c r="B157" s="43" t="s">
        <v>628</v>
      </c>
      <c r="C157" s="43" t="s">
        <v>1282</v>
      </c>
      <c r="D157" s="43" t="s">
        <v>161</v>
      </c>
      <c r="E157" s="44">
        <v>18272</v>
      </c>
      <c r="F157" s="44">
        <v>7055</v>
      </c>
      <c r="G157" s="44">
        <v>18270</v>
      </c>
      <c r="H157" s="44">
        <v>7054</v>
      </c>
      <c r="I157" s="45">
        <v>1.2E-4</v>
      </c>
      <c r="L157" t="str">
        <f>VLOOKUP(D157,Сountries!V:Z,2,0)</f>
        <v>Oceania</v>
      </c>
      <c r="M157" t="str">
        <f>VLOOKUP(D157,Сountries!V:Z,5,0)</f>
        <v>🇫🇯</v>
      </c>
    </row>
    <row r="158" spans="1:13" x14ac:dyDescent="0.2">
      <c r="A158" s="43">
        <v>157</v>
      </c>
      <c r="B158" s="43" t="s">
        <v>624</v>
      </c>
      <c r="C158" s="43" t="s">
        <v>1252</v>
      </c>
      <c r="D158" s="43" t="s">
        <v>129</v>
      </c>
      <c r="E158" s="44">
        <v>17818</v>
      </c>
      <c r="F158" s="44">
        <v>6880</v>
      </c>
      <c r="G158" s="44">
        <v>17820</v>
      </c>
      <c r="H158" s="44">
        <v>6880</v>
      </c>
      <c r="I158" s="45">
        <v>1.2E-4</v>
      </c>
      <c r="L158" t="str">
        <f>VLOOKUP(D158,Сountries!V:Z,2,0)</f>
        <v>Asia</v>
      </c>
      <c r="M158" t="str">
        <f>VLOOKUP(D158,Сountries!V:Z,5,0)</f>
        <v>🇰🇼</v>
      </c>
    </row>
    <row r="159" spans="1:13" x14ac:dyDescent="0.2">
      <c r="A159" s="43">
        <v>158</v>
      </c>
      <c r="B159" s="43" t="s">
        <v>627</v>
      </c>
      <c r="C159" s="43" t="s">
        <v>1280</v>
      </c>
      <c r="D159" s="43" t="s">
        <v>159</v>
      </c>
      <c r="E159" s="44">
        <v>17364</v>
      </c>
      <c r="F159" s="44">
        <v>6704</v>
      </c>
      <c r="G159" s="44">
        <v>17200</v>
      </c>
      <c r="H159" s="44">
        <v>6641</v>
      </c>
      <c r="I159" s="45">
        <v>1.2E-4</v>
      </c>
      <c r="L159" t="str">
        <f>VLOOKUP(D159,Сountries!V:Z,2,0)</f>
        <v>Africa</v>
      </c>
      <c r="M159" t="str">
        <f>VLOOKUP(D159,Сountries!V:Z,5,0)</f>
        <v>🇸🇿</v>
      </c>
    </row>
    <row r="160" spans="1:13" x14ac:dyDescent="0.2">
      <c r="A160" s="43">
        <v>159</v>
      </c>
      <c r="B160" s="43" t="s">
        <v>624</v>
      </c>
      <c r="C160" s="43" t="s">
        <v>1277</v>
      </c>
      <c r="D160" s="43" t="s">
        <v>155</v>
      </c>
      <c r="E160" s="44">
        <v>14874</v>
      </c>
      <c r="F160" s="44">
        <v>5743</v>
      </c>
      <c r="G160" s="44">
        <v>14870</v>
      </c>
      <c r="H160" s="44">
        <v>5741</v>
      </c>
      <c r="I160" s="45">
        <v>1E-4</v>
      </c>
      <c r="L160" t="str">
        <f>VLOOKUP(D160,Сountries!V:Z,2,0)</f>
        <v>Asia</v>
      </c>
      <c r="M160" t="str">
        <f>VLOOKUP(D160,Сountries!V:Z,5,0)</f>
        <v>🇹🇱</v>
      </c>
    </row>
    <row r="161" spans="1:13" x14ac:dyDescent="0.2">
      <c r="A161" s="43">
        <v>160</v>
      </c>
      <c r="B161" s="43" t="s">
        <v>628</v>
      </c>
      <c r="C161" s="43" t="s">
        <v>1293</v>
      </c>
      <c r="D161" s="43" t="s">
        <v>174</v>
      </c>
      <c r="E161" s="44">
        <v>13943</v>
      </c>
      <c r="F161" s="44">
        <v>5383</v>
      </c>
      <c r="G161" s="44">
        <v>10010</v>
      </c>
      <c r="H161" s="44">
        <v>3865</v>
      </c>
      <c r="I161" s="45">
        <v>6.7000000000000002E-5</v>
      </c>
      <c r="L161" t="str">
        <f>VLOOKUP(D161,Сountries!V:Z,2,0)</f>
        <v>Oceania</v>
      </c>
      <c r="M161" t="str">
        <f>VLOOKUP(D161,Сountries!V:Z,5,0)</f>
        <v>🇧🇸</v>
      </c>
    </row>
    <row r="162" spans="1:13" x14ac:dyDescent="0.2">
      <c r="A162" s="43">
        <v>161</v>
      </c>
      <c r="B162" s="43" t="s">
        <v>626</v>
      </c>
      <c r="C162" s="43" t="s">
        <v>1289</v>
      </c>
      <c r="D162" s="43" t="s">
        <v>168</v>
      </c>
      <c r="E162" s="44">
        <v>13812</v>
      </c>
      <c r="F162" s="44">
        <v>5333</v>
      </c>
      <c r="G162" s="44">
        <v>13450</v>
      </c>
      <c r="H162" s="44">
        <v>5193</v>
      </c>
      <c r="I162" s="45">
        <v>9.0000000000000006E-5</v>
      </c>
      <c r="L162" t="str">
        <f>VLOOKUP(D162,Сountries!V:Z,2,0)</f>
        <v>Europe</v>
      </c>
      <c r="M162" t="str">
        <f>VLOOKUP(D162,Сountries!V:Z,5,0)</f>
        <v>🇲🇪</v>
      </c>
    </row>
    <row r="163" spans="1:13" x14ac:dyDescent="0.2">
      <c r="A163" s="43">
        <v>162</v>
      </c>
      <c r="B163" s="43" t="s">
        <v>628</v>
      </c>
      <c r="C163" s="43" t="s">
        <v>1295</v>
      </c>
      <c r="D163" s="43" t="s">
        <v>176</v>
      </c>
      <c r="E163" s="44">
        <v>12189</v>
      </c>
      <c r="F163" s="44">
        <v>4706</v>
      </c>
      <c r="G163" s="44">
        <v>12190</v>
      </c>
      <c r="H163" s="44">
        <v>4707</v>
      </c>
      <c r="I163" s="45">
        <v>8.2000000000000001E-5</v>
      </c>
      <c r="L163" t="str">
        <f>VLOOKUP(D163,Сountries!V:Z,2,0)</f>
        <v>Oceania</v>
      </c>
      <c r="M163" t="str">
        <f>VLOOKUP(D163,Сountries!V:Z,5,0)</f>
        <v>🇻🇺</v>
      </c>
    </row>
    <row r="164" spans="1:13" x14ac:dyDescent="0.2">
      <c r="A164" s="43">
        <v>163</v>
      </c>
      <c r="B164" s="43" t="s">
        <v>625</v>
      </c>
      <c r="C164" s="43" t="s">
        <v>1354</v>
      </c>
      <c r="D164" s="43" t="s">
        <v>482</v>
      </c>
      <c r="E164" s="44">
        <v>12173</v>
      </c>
      <c r="F164" s="44">
        <v>4700</v>
      </c>
      <c r="G164" s="44">
        <v>12170</v>
      </c>
      <c r="H164" s="44">
        <v>4699</v>
      </c>
      <c r="I164" s="45">
        <v>8.2000000000000001E-5</v>
      </c>
      <c r="L164" t="str">
        <f>VLOOKUP(D164,Сountries!V:Z,2,0)</f>
        <v>America</v>
      </c>
      <c r="M164" t="str">
        <f>VLOOKUP(D164,Сountries!V:Z,5,0)</f>
        <v>🇫🇰</v>
      </c>
    </row>
    <row r="165" spans="1:13" x14ac:dyDescent="0.2">
      <c r="A165" s="43">
        <v>164</v>
      </c>
      <c r="B165" s="43" t="s">
        <v>624</v>
      </c>
      <c r="C165" s="43" t="s">
        <v>1259</v>
      </c>
      <c r="D165" s="43" t="s">
        <v>137</v>
      </c>
      <c r="E165" s="44">
        <v>11586</v>
      </c>
      <c r="F165" s="44">
        <v>4473</v>
      </c>
      <c r="G165" s="44">
        <v>11610</v>
      </c>
      <c r="H165" s="44">
        <v>4483</v>
      </c>
      <c r="I165" s="45">
        <v>7.7999999999999999E-5</v>
      </c>
      <c r="L165" t="str">
        <f>VLOOKUP(D165,Сountries!V:Z,2,0)</f>
        <v>Asia</v>
      </c>
      <c r="M165" t="str">
        <f>VLOOKUP(D165,Сountries!V:Z,5,0)</f>
        <v>🇶🇦</v>
      </c>
    </row>
    <row r="166" spans="1:13" x14ac:dyDescent="0.2">
      <c r="A166" s="43">
        <v>165</v>
      </c>
      <c r="B166" s="43" t="s">
        <v>628</v>
      </c>
      <c r="C166" s="43" t="s">
        <v>1263</v>
      </c>
      <c r="D166" s="43" t="s">
        <v>141</v>
      </c>
      <c r="E166" s="44">
        <v>10991</v>
      </c>
      <c r="F166" s="44">
        <v>4244</v>
      </c>
      <c r="G166" s="44">
        <v>10830</v>
      </c>
      <c r="H166" s="44">
        <v>4181</v>
      </c>
      <c r="I166" s="45">
        <v>7.2999999999999999E-5</v>
      </c>
      <c r="L166" t="str">
        <f>VLOOKUP(D166,Сountries!V:Z,2,0)</f>
        <v>Oceania</v>
      </c>
      <c r="M166" t="str">
        <f>VLOOKUP(D166,Сountries!V:Z,5,0)</f>
        <v>🇯🇲</v>
      </c>
    </row>
    <row r="167" spans="1:13" x14ac:dyDescent="0.2">
      <c r="A167" s="43">
        <v>166</v>
      </c>
      <c r="B167" s="43" t="s">
        <v>627</v>
      </c>
      <c r="C167" s="43" t="s">
        <v>1265</v>
      </c>
      <c r="D167" s="43" t="s">
        <v>143</v>
      </c>
      <c r="E167" s="44">
        <v>10689</v>
      </c>
      <c r="F167" s="44">
        <v>4127</v>
      </c>
      <c r="G167" s="44">
        <v>10120</v>
      </c>
      <c r="H167" s="44">
        <v>3907</v>
      </c>
      <c r="I167" s="45">
        <v>6.7999999999999999E-5</v>
      </c>
      <c r="L167" t="str">
        <f>VLOOKUP(D167,Сountries!V:Z,2,0)</f>
        <v>Africa</v>
      </c>
      <c r="M167" t="str">
        <f>VLOOKUP(D167,Сountries!V:Z,5,0)</f>
        <v>🇬🇲</v>
      </c>
    </row>
    <row r="168" spans="1:13" x14ac:dyDescent="0.2">
      <c r="A168" s="43">
        <v>167</v>
      </c>
      <c r="B168" s="43" t="s">
        <v>624</v>
      </c>
      <c r="C168" s="43" t="s">
        <v>1242</v>
      </c>
      <c r="D168" s="43" t="s">
        <v>117</v>
      </c>
      <c r="E168" s="44">
        <v>10452</v>
      </c>
      <c r="F168" s="44">
        <v>4036</v>
      </c>
      <c r="G168" s="44">
        <v>10230</v>
      </c>
      <c r="H168" s="44">
        <v>3950</v>
      </c>
      <c r="I168" s="45">
        <v>6.8999999999999997E-5</v>
      </c>
      <c r="L168" t="str">
        <f>VLOOKUP(D168,Сountries!V:Z,2,0)</f>
        <v>Asia</v>
      </c>
      <c r="M168" t="str">
        <f>VLOOKUP(D168,Сountries!V:Z,5,0)</f>
        <v>🇱🇧</v>
      </c>
    </row>
    <row r="169" spans="1:13" x14ac:dyDescent="0.2">
      <c r="A169" s="43">
        <v>168</v>
      </c>
      <c r="B169" s="43" t="s">
        <v>624</v>
      </c>
      <c r="C169" s="43" t="s">
        <v>1278</v>
      </c>
      <c r="D169" s="43" t="s">
        <v>156</v>
      </c>
      <c r="E169" s="44">
        <v>9251</v>
      </c>
      <c r="F169" s="44">
        <v>3572</v>
      </c>
      <c r="G169" s="44">
        <v>9240</v>
      </c>
      <c r="H169" s="44">
        <v>3568</v>
      </c>
      <c r="I169" s="45">
        <v>6.2000000000000003E-5</v>
      </c>
      <c r="L169" t="str">
        <f>VLOOKUP(D169,Сountries!V:Z,2,0)</f>
        <v>Asia</v>
      </c>
      <c r="M169" t="str">
        <f>VLOOKUP(D169,Сountries!V:Z,5,0)</f>
        <v>🇨🇾</v>
      </c>
    </row>
    <row r="170" spans="1:13" x14ac:dyDescent="0.2">
      <c r="A170" s="43">
        <v>169</v>
      </c>
      <c r="B170" s="43" t="s">
        <v>625</v>
      </c>
      <c r="C170" s="43" t="s">
        <v>1337</v>
      </c>
      <c r="D170" s="43" t="s">
        <v>335</v>
      </c>
      <c r="E170" s="44">
        <v>8870</v>
      </c>
      <c r="F170" s="44">
        <v>3425</v>
      </c>
      <c r="G170" s="44">
        <v>8870</v>
      </c>
      <c r="H170" s="44">
        <v>3425</v>
      </c>
      <c r="I170" s="45">
        <v>6.0000000000000002E-5</v>
      </c>
      <c r="L170" t="str">
        <f>VLOOKUP(D170,Сountries!V:Z,2,0)</f>
        <v>America</v>
      </c>
      <c r="M170" t="str">
        <f>VLOOKUP(D170,Сountries!V:Z,5,0)</f>
        <v>🇵🇷</v>
      </c>
    </row>
    <row r="171" spans="1:13" x14ac:dyDescent="0.2">
      <c r="A171" s="43">
        <v>170</v>
      </c>
      <c r="B171" s="43" t="s">
        <v>624</v>
      </c>
      <c r="C171" s="43" t="s">
        <v>1217</v>
      </c>
      <c r="D171" s="43" t="s">
        <v>121</v>
      </c>
      <c r="E171" s="44">
        <v>6220</v>
      </c>
      <c r="F171" s="44">
        <v>2402</v>
      </c>
      <c r="G171" s="44">
        <v>6020</v>
      </c>
      <c r="H171" s="44">
        <v>2324</v>
      </c>
      <c r="I171" s="45">
        <v>4.0000000000000003E-5</v>
      </c>
      <c r="L171" t="str">
        <f>VLOOKUP(D171,Сountries!V:Z,2,0)</f>
        <v>Asia</v>
      </c>
      <c r="M171" t="str">
        <f>VLOOKUP(D171,Сountries!V:Z,5,0)</f>
        <v>🇵🇸</v>
      </c>
    </row>
    <row r="172" spans="1:13" x14ac:dyDescent="0.2">
      <c r="A172" s="43">
        <v>171</v>
      </c>
      <c r="B172" s="43" t="s">
        <v>628</v>
      </c>
      <c r="C172" s="43" t="s">
        <v>1291</v>
      </c>
      <c r="D172" s="43" t="s">
        <v>172</v>
      </c>
      <c r="E172" s="44">
        <v>5765</v>
      </c>
      <c r="F172" s="44">
        <v>2226</v>
      </c>
      <c r="G172" s="44">
        <v>5270</v>
      </c>
      <c r="H172" s="44">
        <v>2035</v>
      </c>
      <c r="I172" s="45">
        <v>3.4999999999999997E-5</v>
      </c>
      <c r="L172" t="str">
        <f>VLOOKUP(D172,Сountries!V:Z,2,0)</f>
        <v>Oceania</v>
      </c>
      <c r="M172" t="str">
        <f>VLOOKUP(D172,Сountries!V:Z,5,0)</f>
        <v>🇧🇳</v>
      </c>
    </row>
    <row r="173" spans="1:13" x14ac:dyDescent="0.2">
      <c r="A173" s="43">
        <v>172</v>
      </c>
      <c r="B173" s="43" t="s">
        <v>628</v>
      </c>
      <c r="C173" s="43" t="s">
        <v>1276</v>
      </c>
      <c r="D173" s="43" t="s">
        <v>154</v>
      </c>
      <c r="E173" s="44">
        <v>5130</v>
      </c>
      <c r="F173" s="44">
        <v>1981</v>
      </c>
      <c r="G173" s="44">
        <v>5130</v>
      </c>
      <c r="H173" s="44">
        <v>1981</v>
      </c>
      <c r="I173" s="45">
        <v>3.4E-5</v>
      </c>
      <c r="L173" t="str">
        <f>VLOOKUP(D173,Сountries!V:Z,2,0)</f>
        <v>Oceania</v>
      </c>
      <c r="M173" t="str">
        <f>VLOOKUP(D173,Сountries!V:Z,5,0)</f>
        <v>🇹🇹</v>
      </c>
    </row>
    <row r="174" spans="1:13" x14ac:dyDescent="0.2">
      <c r="A174" s="43">
        <v>173</v>
      </c>
      <c r="B174" s="43" t="s">
        <v>628</v>
      </c>
      <c r="C174" s="43" t="s">
        <v>1355</v>
      </c>
      <c r="D174" s="43" t="s">
        <v>402</v>
      </c>
      <c r="E174" s="44">
        <v>4167</v>
      </c>
      <c r="F174" s="44">
        <v>1609</v>
      </c>
      <c r="G174" s="44">
        <v>3660</v>
      </c>
      <c r="H174" s="44">
        <v>1413</v>
      </c>
      <c r="I174" s="45">
        <v>2.5000000000000001E-5</v>
      </c>
      <c r="L174" t="str">
        <f>VLOOKUP(D174,Сountries!V:Z,2,0)</f>
        <v>Oceania</v>
      </c>
      <c r="M174" t="str">
        <f>VLOOKUP(D174,Сountries!V:Z,5,0)</f>
        <v>🇵🇫</v>
      </c>
    </row>
    <row r="175" spans="1:13" x14ac:dyDescent="0.2">
      <c r="A175" s="43">
        <v>174</v>
      </c>
      <c r="B175" s="43" t="s">
        <v>627</v>
      </c>
      <c r="C175" s="43" t="s">
        <v>1290</v>
      </c>
      <c r="D175" s="43" t="s">
        <v>171</v>
      </c>
      <c r="E175" s="44">
        <v>4033</v>
      </c>
      <c r="F175" s="44">
        <v>1557</v>
      </c>
      <c r="G175" s="44">
        <v>4030</v>
      </c>
      <c r="H175" s="44">
        <v>1556</v>
      </c>
      <c r="I175" s="45">
        <v>2.6999999999999999E-5</v>
      </c>
      <c r="L175" t="str">
        <f>VLOOKUP(D175,Сountries!V:Z,2,0)</f>
        <v>Africa</v>
      </c>
      <c r="M175" t="str">
        <f>VLOOKUP(D175,Сountries!V:Z,5,0)</f>
        <v>🇨🇻</v>
      </c>
    </row>
    <row r="176" spans="1:13" x14ac:dyDescent="0.2">
      <c r="A176" s="43">
        <v>175</v>
      </c>
      <c r="B176" s="43" t="s">
        <v>628</v>
      </c>
      <c r="C176" s="43" t="s">
        <v>1298</v>
      </c>
      <c r="D176" s="43" t="s">
        <v>179</v>
      </c>
      <c r="E176" s="44">
        <v>2842</v>
      </c>
      <c r="F176" s="44">
        <v>1097</v>
      </c>
      <c r="G176" s="44">
        <v>2830</v>
      </c>
      <c r="H176" s="44">
        <v>1093</v>
      </c>
      <c r="I176" s="45">
        <v>1.9000000000000001E-5</v>
      </c>
      <c r="L176" t="str">
        <f>VLOOKUP(D176,Сountries!V:Z,2,0)</f>
        <v>Oceania</v>
      </c>
      <c r="M176" t="str">
        <f>VLOOKUP(D176,Сountries!V:Z,5,0)</f>
        <v>🇼🇸</v>
      </c>
    </row>
    <row r="177" spans="1:13" x14ac:dyDescent="0.2">
      <c r="A177" s="43">
        <v>176</v>
      </c>
      <c r="B177" s="43" t="s">
        <v>626</v>
      </c>
      <c r="C177" s="43" t="s">
        <v>1287</v>
      </c>
      <c r="D177" s="43" t="s">
        <v>166</v>
      </c>
      <c r="E177" s="44">
        <v>2586</v>
      </c>
      <c r="F177" s="43">
        <v>998</v>
      </c>
      <c r="G177" s="44">
        <v>2590</v>
      </c>
      <c r="H177" s="44">
        <v>1000</v>
      </c>
      <c r="I177" s="45">
        <v>1.7E-5</v>
      </c>
      <c r="L177" t="str">
        <f>VLOOKUP(D177,Сountries!V:Z,2,0)</f>
        <v>Europe</v>
      </c>
      <c r="M177" t="str">
        <f>VLOOKUP(D177,Сountries!V:Z,5,0)</f>
        <v>🇱🇺</v>
      </c>
    </row>
    <row r="178" spans="1:13" x14ac:dyDescent="0.2">
      <c r="A178" s="43">
        <v>177</v>
      </c>
      <c r="B178" s="43" t="s">
        <v>627</v>
      </c>
      <c r="C178" s="43" t="s">
        <v>1338</v>
      </c>
      <c r="D178" s="43" t="s">
        <v>376</v>
      </c>
      <c r="E178" s="44">
        <v>2511</v>
      </c>
      <c r="F178" s="43">
        <v>970</v>
      </c>
      <c r="G178" s="44">
        <v>2500</v>
      </c>
      <c r="H178" s="43">
        <v>965</v>
      </c>
      <c r="I178" s="45">
        <v>1.7E-5</v>
      </c>
      <c r="L178" t="str">
        <f>VLOOKUP(D178,Сountries!V:Z,2,0)</f>
        <v>Africa</v>
      </c>
      <c r="M178" t="str">
        <f>VLOOKUP(D178,Сountries!V:Z,5,0)</f>
        <v>🇷🇪</v>
      </c>
    </row>
    <row r="179" spans="1:13" x14ac:dyDescent="0.2">
      <c r="A179" s="43">
        <v>178</v>
      </c>
      <c r="B179" s="43" t="s">
        <v>627</v>
      </c>
      <c r="C179" s="43" t="s">
        <v>547</v>
      </c>
      <c r="D179" s="43" t="s">
        <v>158</v>
      </c>
      <c r="E179" s="44">
        <v>2040</v>
      </c>
      <c r="F179" s="43">
        <v>788</v>
      </c>
      <c r="G179" s="44">
        <v>2030</v>
      </c>
      <c r="H179" s="43">
        <v>784</v>
      </c>
      <c r="I179" s="45">
        <v>1.4E-5</v>
      </c>
      <c r="L179" t="str">
        <f>VLOOKUP(D179,Сountries!V:Z,2,0)</f>
        <v>Africa</v>
      </c>
      <c r="M179" t="str">
        <f>VLOOKUP(D179,Сountries!V:Z,5,0)</f>
        <v>🇲🇺</v>
      </c>
    </row>
    <row r="180" spans="1:13" x14ac:dyDescent="0.2">
      <c r="A180" s="43">
        <v>179</v>
      </c>
      <c r="B180" s="43" t="s">
        <v>627</v>
      </c>
      <c r="C180" s="43" t="s">
        <v>1283</v>
      </c>
      <c r="D180" s="43" t="s">
        <v>162</v>
      </c>
      <c r="E180" s="44">
        <v>1862</v>
      </c>
      <c r="F180" s="43">
        <v>719</v>
      </c>
      <c r="G180" s="44">
        <v>1861</v>
      </c>
      <c r="H180" s="43">
        <v>719</v>
      </c>
      <c r="I180" s="45">
        <v>1.2E-5</v>
      </c>
      <c r="L180" t="str">
        <f>VLOOKUP(D180,Сountries!V:Z,2,0)</f>
        <v>Africa</v>
      </c>
      <c r="M180" t="str">
        <f>VLOOKUP(D180,Сountries!V:Z,5,0)</f>
        <v>🇰🇲</v>
      </c>
    </row>
    <row r="181" spans="1:13" x14ac:dyDescent="0.2">
      <c r="A181" s="43">
        <v>180</v>
      </c>
      <c r="B181" s="43" t="s">
        <v>625</v>
      </c>
      <c r="C181" s="43" t="s">
        <v>1341</v>
      </c>
      <c r="D181" s="43" t="s">
        <v>388</v>
      </c>
      <c r="E181" s="44">
        <v>1628</v>
      </c>
      <c r="F181" s="43">
        <v>629</v>
      </c>
      <c r="G181" s="44">
        <v>1690</v>
      </c>
      <c r="H181" s="43">
        <v>653</v>
      </c>
      <c r="I181" s="45">
        <v>1.1E-5</v>
      </c>
      <c r="L181" t="str">
        <f>VLOOKUP(D181,Сountries!V:Z,2,0)</f>
        <v>America</v>
      </c>
      <c r="M181" t="str">
        <f>VLOOKUP(D181,Сountries!V:Z,5,0)</f>
        <v>🇬🇵</v>
      </c>
    </row>
    <row r="182" spans="1:13" x14ac:dyDescent="0.2">
      <c r="A182" s="43">
        <v>181</v>
      </c>
      <c r="B182" s="43" t="s">
        <v>626</v>
      </c>
      <c r="C182" s="43" t="s">
        <v>1358</v>
      </c>
      <c r="D182" s="43" t="s">
        <v>971</v>
      </c>
      <c r="E182" s="44">
        <v>1393</v>
      </c>
      <c r="F182" s="43">
        <v>538</v>
      </c>
      <c r="G182" s="44">
        <v>1396</v>
      </c>
      <c r="H182" s="43">
        <v>539</v>
      </c>
      <c r="I182" s="45">
        <v>9.3999999999999998E-6</v>
      </c>
      <c r="L182" t="str">
        <f>VLOOKUP(D182,Сountries!V:Z,2,0)</f>
        <v>Europe</v>
      </c>
      <c r="M182" t="str">
        <f>VLOOKUP(D182,Сountries!V:Z,5,0)</f>
        <v>🇫🇴</v>
      </c>
    </row>
    <row r="183" spans="1:13" x14ac:dyDescent="0.2">
      <c r="A183" s="43">
        <v>182</v>
      </c>
      <c r="B183" s="43" t="s">
        <v>625</v>
      </c>
      <c r="C183" s="43" t="s">
        <v>1359</v>
      </c>
      <c r="D183" s="43" t="s">
        <v>392</v>
      </c>
      <c r="E183" s="44">
        <v>1128</v>
      </c>
      <c r="F183" s="43">
        <v>436</v>
      </c>
      <c r="G183" s="44">
        <v>1060</v>
      </c>
      <c r="H183" s="43">
        <v>409</v>
      </c>
      <c r="I183" s="45">
        <v>7.0999999999999998E-6</v>
      </c>
      <c r="L183" t="str">
        <f>VLOOKUP(D183,Сountries!V:Z,2,0)</f>
        <v>America</v>
      </c>
      <c r="M183" t="str">
        <f>VLOOKUP(D183,Сountries!V:Z,5,0)</f>
        <v>🇲🇶</v>
      </c>
    </row>
    <row r="184" spans="1:13" x14ac:dyDescent="0.2">
      <c r="A184" s="43">
        <v>183</v>
      </c>
      <c r="B184" s="43" t="s">
        <v>624</v>
      </c>
      <c r="C184" s="43" t="s">
        <v>1332</v>
      </c>
      <c r="D184" s="43" t="s">
        <v>306</v>
      </c>
      <c r="E184" s="44">
        <v>1104</v>
      </c>
      <c r="F184" s="43">
        <v>426</v>
      </c>
      <c r="G184" s="44">
        <v>1050</v>
      </c>
      <c r="H184" s="43">
        <v>405</v>
      </c>
      <c r="I184" s="45">
        <v>6.9999999999999999E-6</v>
      </c>
      <c r="L184" t="str">
        <f>VLOOKUP(D184,Сountries!V:Z,2,0)</f>
        <v>Asia</v>
      </c>
      <c r="M184" t="str">
        <f>VLOOKUP(D184,Сountries!V:Z,5,0)</f>
        <v>🇭🇰</v>
      </c>
    </row>
    <row r="185" spans="1:13" x14ac:dyDescent="0.2">
      <c r="A185" s="43">
        <v>184</v>
      </c>
      <c r="B185" s="43" t="s">
        <v>627</v>
      </c>
      <c r="C185" s="43" t="s">
        <v>1297</v>
      </c>
      <c r="D185" s="43" t="s">
        <v>178</v>
      </c>
      <c r="E185" s="43">
        <v>964</v>
      </c>
      <c r="F185" s="43">
        <v>372</v>
      </c>
      <c r="G185" s="43">
        <v>960</v>
      </c>
      <c r="H185" s="43">
        <v>371</v>
      </c>
      <c r="I185" s="45">
        <v>6.3999999999999997E-6</v>
      </c>
      <c r="L185" t="str">
        <f>VLOOKUP(D185,Сountries!V:Z,2,0)</f>
        <v>Africa</v>
      </c>
      <c r="M185" t="str">
        <f>VLOOKUP(D185,Сountries!V:Z,5,0)</f>
        <v>🇸🇹</v>
      </c>
    </row>
    <row r="186" spans="1:13" x14ac:dyDescent="0.2">
      <c r="A186" s="43">
        <v>185</v>
      </c>
      <c r="B186" s="43" t="s">
        <v>625</v>
      </c>
      <c r="C186" s="43" t="s">
        <v>1360</v>
      </c>
      <c r="D186" s="43" t="s">
        <v>1361</v>
      </c>
      <c r="E186" s="43">
        <v>948</v>
      </c>
      <c r="F186" s="43">
        <v>366</v>
      </c>
      <c r="G186" s="43">
        <v>950</v>
      </c>
      <c r="H186" s="43">
        <v>367</v>
      </c>
      <c r="I186" s="45">
        <v>6.3999999999999997E-6</v>
      </c>
      <c r="L186" t="str">
        <f>VLOOKUP(D186,Сountries!V:Z,2,0)</f>
        <v>America</v>
      </c>
      <c r="M186" t="str">
        <f>VLOOKUP(D186,Сountries!V:Z,5,0)</f>
        <v>🇹🇨</v>
      </c>
    </row>
    <row r="187" spans="1:13" x14ac:dyDescent="0.2">
      <c r="A187" s="43">
        <v>186</v>
      </c>
      <c r="B187" s="43" t="s">
        <v>628</v>
      </c>
      <c r="C187" s="43" t="s">
        <v>1300</v>
      </c>
      <c r="D187" s="43" t="s">
        <v>181</v>
      </c>
      <c r="E187" s="43">
        <v>811</v>
      </c>
      <c r="F187" s="43">
        <v>313</v>
      </c>
      <c r="G187" s="43">
        <v>810</v>
      </c>
      <c r="H187" s="43">
        <v>313</v>
      </c>
      <c r="I187" s="45">
        <v>5.4E-6</v>
      </c>
      <c r="L187" t="str">
        <f>VLOOKUP(D187,Сountries!V:Z,2,0)</f>
        <v>Oceania</v>
      </c>
      <c r="M187" t="str">
        <f>VLOOKUP(D187,Сountries!V:Z,5,0)</f>
        <v>🇰🇮</v>
      </c>
    </row>
    <row r="188" spans="1:13" x14ac:dyDescent="0.2">
      <c r="A188" s="43">
        <v>187</v>
      </c>
      <c r="B188" s="43" t="s">
        <v>624</v>
      </c>
      <c r="C188" s="43" t="s">
        <v>1275</v>
      </c>
      <c r="D188" s="43" t="s">
        <v>153</v>
      </c>
      <c r="E188" s="43">
        <v>765</v>
      </c>
      <c r="F188" s="43">
        <v>295</v>
      </c>
      <c r="G188" s="43">
        <v>760</v>
      </c>
      <c r="H188" s="43">
        <v>293</v>
      </c>
      <c r="I188" s="45">
        <v>5.1000000000000003E-6</v>
      </c>
      <c r="L188" t="str">
        <f>VLOOKUP(D188,Сountries!V:Z,2,0)</f>
        <v>Asia</v>
      </c>
      <c r="M188" t="str">
        <f>VLOOKUP(D188,Сountries!V:Z,5,0)</f>
        <v>🇧🇭</v>
      </c>
    </row>
    <row r="189" spans="1:13" x14ac:dyDescent="0.2">
      <c r="A189" s="43">
        <v>188</v>
      </c>
      <c r="B189" s="43" t="s">
        <v>628</v>
      </c>
      <c r="C189" s="43" t="s">
        <v>584</v>
      </c>
      <c r="D189" s="43" t="s">
        <v>189</v>
      </c>
      <c r="E189" s="43">
        <v>751</v>
      </c>
      <c r="F189" s="43">
        <v>290</v>
      </c>
      <c r="G189" s="43">
        <v>750</v>
      </c>
      <c r="H189" s="43">
        <v>290</v>
      </c>
      <c r="I189" s="45">
        <v>5.0000000000000004E-6</v>
      </c>
      <c r="L189" t="str">
        <f>VLOOKUP(D189,Сountries!V:Z,2,0)</f>
        <v>Oceania</v>
      </c>
      <c r="M189" t="str">
        <f>VLOOKUP(D189,Сountries!V:Z,5,0)</f>
        <v>🇩🇲</v>
      </c>
    </row>
    <row r="190" spans="1:13" x14ac:dyDescent="0.2">
      <c r="A190" s="43">
        <v>189</v>
      </c>
      <c r="B190" s="43" t="s">
        <v>628</v>
      </c>
      <c r="C190" s="43" t="s">
        <v>1304</v>
      </c>
      <c r="D190" s="43" t="s">
        <v>185</v>
      </c>
      <c r="E190" s="43">
        <v>747</v>
      </c>
      <c r="F190" s="43">
        <v>288</v>
      </c>
      <c r="G190" s="43">
        <v>720</v>
      </c>
      <c r="H190" s="43">
        <v>278</v>
      </c>
      <c r="I190" s="45">
        <v>4.7999999999999998E-6</v>
      </c>
      <c r="L190" t="str">
        <f>VLOOKUP(D190,Сountries!V:Z,2,0)</f>
        <v>Oceania</v>
      </c>
      <c r="M190" t="str">
        <f>VLOOKUP(D190,Сountries!V:Z,5,0)</f>
        <v>🇹🇴</v>
      </c>
    </row>
    <row r="191" spans="1:13" x14ac:dyDescent="0.2">
      <c r="A191" s="43">
        <v>190</v>
      </c>
      <c r="B191" s="43" t="s">
        <v>624</v>
      </c>
      <c r="C191" s="43" t="s">
        <v>1241</v>
      </c>
      <c r="D191" s="43" t="s">
        <v>116</v>
      </c>
      <c r="E191" s="43">
        <v>710</v>
      </c>
      <c r="F191" s="43">
        <v>274</v>
      </c>
      <c r="G191" s="43">
        <v>700</v>
      </c>
      <c r="H191" s="43">
        <v>270</v>
      </c>
      <c r="I191" s="45">
        <v>4.6999999999999999E-6</v>
      </c>
      <c r="L191" t="str">
        <f>VLOOKUP(D191,Сountries!V:Z,2,0)</f>
        <v>Asia</v>
      </c>
      <c r="M191" t="str">
        <f>VLOOKUP(D191,Сountries!V:Z,5,0)</f>
        <v>🇸🇬</v>
      </c>
    </row>
    <row r="192" spans="1:13" x14ac:dyDescent="0.2">
      <c r="A192" s="43">
        <v>191</v>
      </c>
      <c r="B192" s="43" t="s">
        <v>628</v>
      </c>
      <c r="C192" s="43" t="s">
        <v>1303</v>
      </c>
      <c r="D192" s="43" t="s">
        <v>184</v>
      </c>
      <c r="E192" s="43">
        <v>702</v>
      </c>
      <c r="F192" s="43">
        <v>271</v>
      </c>
      <c r="G192" s="43">
        <v>700</v>
      </c>
      <c r="H192" s="43">
        <v>270</v>
      </c>
      <c r="I192" s="45">
        <v>4.6999999999999999E-6</v>
      </c>
      <c r="L192" t="str">
        <f>VLOOKUP(D192,Сountries!V:Z,2,0)</f>
        <v>Oceania</v>
      </c>
      <c r="M192" t="str">
        <f>VLOOKUP(D192,Сountries!V:Z,5,0)</f>
        <v>🇫🇲</v>
      </c>
    </row>
    <row r="193" spans="1:13" x14ac:dyDescent="0.2">
      <c r="A193" s="43">
        <v>192</v>
      </c>
      <c r="B193" s="43" t="s">
        <v>625</v>
      </c>
      <c r="C193" s="43" t="s">
        <v>1299</v>
      </c>
      <c r="D193" s="43" t="s">
        <v>180</v>
      </c>
      <c r="E193" s="43">
        <v>616</v>
      </c>
      <c r="F193" s="43">
        <v>238</v>
      </c>
      <c r="G193" s="43">
        <v>610</v>
      </c>
      <c r="H193" s="43">
        <v>236</v>
      </c>
      <c r="I193" s="45">
        <v>4.0999999999999997E-6</v>
      </c>
      <c r="L193" t="str">
        <f>VLOOKUP(D193,Сountries!V:Z,2,0)</f>
        <v>America</v>
      </c>
      <c r="M193" t="str">
        <f>VLOOKUP(D193,Сountries!V:Z,5,0)</f>
        <v>🇱🇨</v>
      </c>
    </row>
    <row r="194" spans="1:13" x14ac:dyDescent="0.2">
      <c r="A194" s="43">
        <v>193</v>
      </c>
      <c r="B194" s="43" t="s">
        <v>626</v>
      </c>
      <c r="C194" s="43" t="s">
        <v>1369</v>
      </c>
      <c r="D194" s="43" t="s">
        <v>423</v>
      </c>
      <c r="E194" s="43">
        <v>572</v>
      </c>
      <c r="F194" s="43">
        <v>221</v>
      </c>
      <c r="G194" s="43">
        <v>570</v>
      </c>
      <c r="H194" s="43">
        <v>220</v>
      </c>
      <c r="I194" s="45">
        <v>3.8E-6</v>
      </c>
      <c r="L194" t="str">
        <f>VLOOKUP(D194,Сountries!V:Z,2,0)</f>
        <v>Europe</v>
      </c>
      <c r="M194" t="str">
        <f>VLOOKUP(D194,Сountries!V:Z,5,0)</f>
        <v>🇮🇲</v>
      </c>
    </row>
    <row r="195" spans="1:13" x14ac:dyDescent="0.2">
      <c r="A195" s="43">
        <v>194</v>
      </c>
      <c r="B195" s="43" t="s">
        <v>628</v>
      </c>
      <c r="C195" s="43" t="s">
        <v>1365</v>
      </c>
      <c r="D195" s="43" t="s">
        <v>408</v>
      </c>
      <c r="E195" s="43">
        <v>549</v>
      </c>
      <c r="F195" s="43">
        <v>212</v>
      </c>
      <c r="G195" s="43">
        <v>540</v>
      </c>
      <c r="H195" s="43">
        <v>208</v>
      </c>
      <c r="I195" s="45">
        <v>3.5999999999999998E-6</v>
      </c>
      <c r="L195" t="str">
        <f>VLOOKUP(D195,Сountries!V:Z,2,0)</f>
        <v>Oceania</v>
      </c>
      <c r="M195" t="str">
        <f>VLOOKUP(D195,Сountries!V:Z,5,0)</f>
        <v>🇬🇺</v>
      </c>
    </row>
    <row r="196" spans="1:13" x14ac:dyDescent="0.2">
      <c r="A196" s="43">
        <v>195</v>
      </c>
      <c r="B196" s="43" t="s">
        <v>626</v>
      </c>
      <c r="C196" s="43" t="s">
        <v>1307</v>
      </c>
      <c r="D196" s="43" t="s">
        <v>188</v>
      </c>
      <c r="E196" s="43">
        <v>468</v>
      </c>
      <c r="F196" s="43">
        <v>181</v>
      </c>
      <c r="G196" s="43">
        <v>470</v>
      </c>
      <c r="H196" s="43">
        <v>181</v>
      </c>
      <c r="I196" s="45">
        <v>3.1999999999999999E-6</v>
      </c>
      <c r="L196" t="str">
        <f>VLOOKUP(D196,Сountries!V:Z,2,0)</f>
        <v>Europe</v>
      </c>
      <c r="M196" t="str">
        <f>VLOOKUP(D196,Сountries!V:Z,5,0)</f>
        <v>🇦🇩</v>
      </c>
    </row>
    <row r="197" spans="1:13" x14ac:dyDescent="0.2">
      <c r="A197" s="43">
        <v>196</v>
      </c>
      <c r="B197" s="43" t="s">
        <v>628</v>
      </c>
      <c r="C197" s="43" t="s">
        <v>1374</v>
      </c>
      <c r="D197" s="43" t="s">
        <v>444</v>
      </c>
      <c r="E197" s="43">
        <v>464</v>
      </c>
      <c r="F197" s="43">
        <v>179</v>
      </c>
      <c r="G197" s="43">
        <v>460</v>
      </c>
      <c r="H197" s="43">
        <v>178</v>
      </c>
      <c r="I197" s="45">
        <v>3.1E-6</v>
      </c>
      <c r="L197" t="str">
        <f>VLOOKUP(D197,Сountries!V:Z,2,0)</f>
        <v>Oceania</v>
      </c>
      <c r="M197" t="str">
        <f>VLOOKUP(D197,Сountries!V:Z,5,0)</f>
        <v>🇲🇵</v>
      </c>
    </row>
    <row r="198" spans="1:13" x14ac:dyDescent="0.2">
      <c r="A198" s="43">
        <v>197</v>
      </c>
      <c r="B198" s="43" t="s">
        <v>628</v>
      </c>
      <c r="C198" s="43" t="s">
        <v>1313</v>
      </c>
      <c r="D198" s="43" t="s">
        <v>195</v>
      </c>
      <c r="E198" s="43">
        <v>459</v>
      </c>
      <c r="F198" s="43">
        <v>177</v>
      </c>
      <c r="G198" s="43">
        <v>460</v>
      </c>
      <c r="H198" s="43">
        <v>178</v>
      </c>
      <c r="I198" s="45">
        <v>3.1E-6</v>
      </c>
      <c r="L198" t="str">
        <f>VLOOKUP(D198,Сountries!V:Z,2,0)</f>
        <v>Oceania</v>
      </c>
      <c r="M198" t="str">
        <f>VLOOKUP(D198,Сountries!V:Z,5,0)</f>
        <v>🇵🇼</v>
      </c>
    </row>
    <row r="199" spans="1:13" x14ac:dyDescent="0.2">
      <c r="A199" s="43">
        <v>198</v>
      </c>
      <c r="B199" s="43" t="s">
        <v>627</v>
      </c>
      <c r="C199" s="43" t="s">
        <v>1301</v>
      </c>
      <c r="D199" s="43" t="s">
        <v>182</v>
      </c>
      <c r="E199" s="43">
        <v>452</v>
      </c>
      <c r="F199" s="43">
        <v>175</v>
      </c>
      <c r="G199" s="43">
        <v>460</v>
      </c>
      <c r="H199" s="43">
        <v>178</v>
      </c>
      <c r="I199" s="45">
        <v>3.1E-6</v>
      </c>
      <c r="L199" t="str">
        <f>VLOOKUP(D199,Сountries!V:Z,2,0)</f>
        <v>Africa</v>
      </c>
      <c r="M199" t="str">
        <f>VLOOKUP(D199,Сountries!V:Z,5,0)</f>
        <v>🇸🇨</v>
      </c>
    </row>
    <row r="200" spans="1:13" x14ac:dyDescent="0.2">
      <c r="A200" s="43">
        <v>199</v>
      </c>
      <c r="B200" s="43" t="s">
        <v>625</v>
      </c>
      <c r="C200" s="43" t="s">
        <v>1364</v>
      </c>
      <c r="D200" s="43" t="s">
        <v>406</v>
      </c>
      <c r="E200" s="43">
        <v>444</v>
      </c>
      <c r="F200" s="43">
        <v>171</v>
      </c>
      <c r="G200" s="43">
        <v>444</v>
      </c>
      <c r="H200" s="43">
        <v>171</v>
      </c>
      <c r="I200" s="45">
        <v>3.0000000000000001E-6</v>
      </c>
      <c r="L200" t="str">
        <f>VLOOKUP(D200,Сountries!V:Z,2,0)</f>
        <v>America</v>
      </c>
      <c r="M200" t="str">
        <f>VLOOKUP(D200,Сountries!V:Z,5,0)</f>
        <v>🇨🇼</v>
      </c>
    </row>
    <row r="201" spans="1:13" x14ac:dyDescent="0.2">
      <c r="A201" s="43">
        <v>200</v>
      </c>
      <c r="B201" s="43" t="s">
        <v>628</v>
      </c>
      <c r="C201" s="43" t="s">
        <v>1306</v>
      </c>
      <c r="D201" s="43" t="s">
        <v>187</v>
      </c>
      <c r="E201" s="43">
        <v>442</v>
      </c>
      <c r="F201" s="43">
        <v>171</v>
      </c>
      <c r="G201" s="43">
        <v>440</v>
      </c>
      <c r="H201" s="43">
        <v>170</v>
      </c>
      <c r="I201" s="45">
        <v>3.0000000000000001E-6</v>
      </c>
      <c r="L201" t="str">
        <f>VLOOKUP(D201,Сountries!V:Z,2,0)</f>
        <v>Oceania</v>
      </c>
      <c r="M201" t="str">
        <f>VLOOKUP(D201,Сountries!V:Z,5,0)</f>
        <v>🇦🇬</v>
      </c>
    </row>
    <row r="202" spans="1:13" x14ac:dyDescent="0.2">
      <c r="A202" s="43">
        <v>201</v>
      </c>
      <c r="B202" s="43" t="s">
        <v>628</v>
      </c>
      <c r="C202" s="43" t="s">
        <v>1296</v>
      </c>
      <c r="D202" s="43" t="s">
        <v>177</v>
      </c>
      <c r="E202" s="43">
        <v>430</v>
      </c>
      <c r="F202" s="43">
        <v>166</v>
      </c>
      <c r="G202" s="43">
        <v>430</v>
      </c>
      <c r="H202" s="43">
        <v>166</v>
      </c>
      <c r="I202" s="45">
        <v>2.9000000000000002E-6</v>
      </c>
      <c r="L202" t="str">
        <f>VLOOKUP(D202,Сountries!V:Z,2,0)</f>
        <v>Oceania</v>
      </c>
      <c r="M202" t="str">
        <f>VLOOKUP(D202,Сountries!V:Z,5,0)</f>
        <v>🇧🇧</v>
      </c>
    </row>
    <row r="203" spans="1:13" x14ac:dyDescent="0.2">
      <c r="A203" s="43">
        <v>202</v>
      </c>
      <c r="B203" s="43" t="s">
        <v>627</v>
      </c>
      <c r="C203" s="43" t="s">
        <v>1334</v>
      </c>
      <c r="D203" s="43" t="s">
        <v>477</v>
      </c>
      <c r="E203" s="43">
        <v>394</v>
      </c>
      <c r="F203" s="43">
        <v>152</v>
      </c>
      <c r="G203" s="43">
        <v>390</v>
      </c>
      <c r="H203" s="43">
        <v>151</v>
      </c>
      <c r="I203" s="45">
        <v>2.6000000000000001E-6</v>
      </c>
      <c r="L203" t="str">
        <f>VLOOKUP(D203,Сountries!V:Z,2,0)</f>
        <v>Africa</v>
      </c>
      <c r="M203" t="str">
        <f>VLOOKUP(D203,Сountries!V:Z,5,0)</f>
        <v>🇸🇭</v>
      </c>
    </row>
    <row r="204" spans="1:13" x14ac:dyDescent="0.2">
      <c r="A204" s="43">
        <v>203</v>
      </c>
      <c r="B204" s="43" t="s">
        <v>628</v>
      </c>
      <c r="C204" s="43" t="s">
        <v>1305</v>
      </c>
      <c r="D204" s="43" t="s">
        <v>186</v>
      </c>
      <c r="E204" s="43">
        <v>389</v>
      </c>
      <c r="F204" s="43">
        <v>150</v>
      </c>
      <c r="G204" s="43">
        <v>390</v>
      </c>
      <c r="H204" s="43">
        <v>151</v>
      </c>
      <c r="I204" s="45">
        <v>2.6000000000000001E-6</v>
      </c>
      <c r="L204" t="str">
        <f>VLOOKUP(D204,Сountries!V:Z,2,0)</f>
        <v>Oceania</v>
      </c>
      <c r="M204" t="str">
        <f>VLOOKUP(D204,Сountries!V:Z,5,0)</f>
        <v>🇻🇨</v>
      </c>
    </row>
    <row r="205" spans="1:13" x14ac:dyDescent="0.2">
      <c r="A205" s="43">
        <v>204</v>
      </c>
      <c r="B205" s="43" t="s">
        <v>627</v>
      </c>
      <c r="C205" s="43" t="s">
        <v>1297</v>
      </c>
      <c r="D205" s="43" t="s">
        <v>178</v>
      </c>
      <c r="E205" s="43">
        <v>374</v>
      </c>
      <c r="F205" s="43">
        <v>144</v>
      </c>
      <c r="G205" s="43">
        <v>375</v>
      </c>
      <c r="H205" s="43">
        <v>145</v>
      </c>
      <c r="I205" s="45">
        <v>2.5000000000000002E-6</v>
      </c>
      <c r="L205" t="str">
        <f>VLOOKUP(D205,Сountries!V:Z,2,0)</f>
        <v>Africa</v>
      </c>
      <c r="M205" t="str">
        <f>VLOOKUP(D205,Сountries!V:Z,5,0)</f>
        <v>🇸🇹</v>
      </c>
    </row>
    <row r="206" spans="1:13" x14ac:dyDescent="0.2">
      <c r="A206" s="43">
        <v>205</v>
      </c>
      <c r="B206" s="43" t="s">
        <v>625</v>
      </c>
      <c r="C206" s="43" t="s">
        <v>1367</v>
      </c>
      <c r="D206" s="43" t="s">
        <v>420</v>
      </c>
      <c r="E206" s="43">
        <v>347</v>
      </c>
      <c r="F206" s="43">
        <v>134</v>
      </c>
      <c r="G206" s="43">
        <v>350</v>
      </c>
      <c r="H206" s="43">
        <v>135</v>
      </c>
      <c r="I206" s="45">
        <v>2.3E-6</v>
      </c>
      <c r="L206" t="str">
        <f>VLOOKUP(D206,Сountries!V:Z,2,0)</f>
        <v>America</v>
      </c>
      <c r="M206" t="str">
        <f>VLOOKUP(D206,Сountries!V:Z,5,0)</f>
        <v>🇻🇮</v>
      </c>
    </row>
    <row r="207" spans="1:13" x14ac:dyDescent="0.2">
      <c r="A207" s="43">
        <v>206</v>
      </c>
      <c r="B207" s="43" t="s">
        <v>628</v>
      </c>
      <c r="C207" s="43" t="s">
        <v>1302</v>
      </c>
      <c r="D207" s="43" t="s">
        <v>183</v>
      </c>
      <c r="E207" s="43">
        <v>344</v>
      </c>
      <c r="F207" s="43">
        <v>133</v>
      </c>
      <c r="G207" s="43">
        <v>340</v>
      </c>
      <c r="H207" s="43">
        <v>131</v>
      </c>
      <c r="I207" s="45">
        <v>2.3E-6</v>
      </c>
      <c r="L207" t="str">
        <f>VLOOKUP(D207,Сountries!V:Z,2,0)</f>
        <v>Oceania</v>
      </c>
      <c r="M207" t="str">
        <f>VLOOKUP(D207,Сountries!V:Z,5,0)</f>
        <v>🇬🇩</v>
      </c>
    </row>
    <row r="208" spans="1:13" x14ac:dyDescent="0.2">
      <c r="A208" s="43">
        <v>207</v>
      </c>
      <c r="B208" s="43" t="s">
        <v>625</v>
      </c>
      <c r="C208" s="43" t="s">
        <v>569</v>
      </c>
      <c r="D208" s="43" t="s">
        <v>456</v>
      </c>
      <c r="E208" s="43">
        <v>328</v>
      </c>
      <c r="F208" s="43">
        <v>127</v>
      </c>
      <c r="G208" s="43">
        <v>328</v>
      </c>
      <c r="H208" s="43">
        <v>127</v>
      </c>
      <c r="I208" s="45">
        <v>2.2000000000000001E-6</v>
      </c>
      <c r="L208" t="str">
        <f>VLOOKUP(D208,Сountries!V:Z,2,0)</f>
        <v>America</v>
      </c>
      <c r="M208" t="str">
        <f>VLOOKUP(D208,Сountries!V:Z,5,0)</f>
        <v>🇳🇱</v>
      </c>
    </row>
    <row r="209" spans="1:13" x14ac:dyDescent="0.2">
      <c r="A209" s="43">
        <v>208</v>
      </c>
      <c r="B209" s="43" t="s">
        <v>626</v>
      </c>
      <c r="C209" s="43" t="s">
        <v>544</v>
      </c>
      <c r="D209" s="43" t="s">
        <v>169</v>
      </c>
      <c r="E209" s="43">
        <v>316</v>
      </c>
      <c r="F209" s="43">
        <v>122</v>
      </c>
      <c r="G209" s="43">
        <v>320</v>
      </c>
      <c r="H209" s="43">
        <v>124</v>
      </c>
      <c r="I209" s="45">
        <v>2.0999999999999998E-6</v>
      </c>
      <c r="L209" t="str">
        <f>VLOOKUP(D209,Сountries!V:Z,2,0)</f>
        <v>Europe</v>
      </c>
      <c r="M209" t="str">
        <f>VLOOKUP(D209,Сountries!V:Z,5,0)</f>
        <v>🇲🇹</v>
      </c>
    </row>
    <row r="210" spans="1:13" x14ac:dyDescent="0.2">
      <c r="A210" s="43">
        <v>209</v>
      </c>
      <c r="B210" s="43" t="s">
        <v>624</v>
      </c>
      <c r="C210" s="43" t="s">
        <v>545</v>
      </c>
      <c r="D210" s="43" t="s">
        <v>170</v>
      </c>
      <c r="E210" s="43">
        <v>300</v>
      </c>
      <c r="F210" s="43">
        <v>116</v>
      </c>
      <c r="G210" s="43">
        <v>300</v>
      </c>
      <c r="H210" s="43">
        <v>116</v>
      </c>
      <c r="I210" s="45">
        <v>1.9999999999999999E-6</v>
      </c>
      <c r="L210" t="str">
        <f>VLOOKUP(D210,Сountries!V:Z,2,0)</f>
        <v>Asia</v>
      </c>
      <c r="M210" t="str">
        <f>VLOOKUP(D210,Сountries!V:Z,5,0)</f>
        <v>🇲🇻</v>
      </c>
    </row>
    <row r="211" spans="1:13" x14ac:dyDescent="0.2">
      <c r="A211" s="43">
        <v>210</v>
      </c>
      <c r="B211" s="43" t="s">
        <v>625</v>
      </c>
      <c r="C211" s="43" t="s">
        <v>1370</v>
      </c>
      <c r="D211" s="43" t="s">
        <v>426</v>
      </c>
      <c r="E211" s="43">
        <v>264</v>
      </c>
      <c r="F211" s="43">
        <v>102</v>
      </c>
      <c r="G211" s="43">
        <v>240</v>
      </c>
      <c r="H211" s="43">
        <v>93</v>
      </c>
      <c r="I211" s="45">
        <v>1.5999999999999999E-6</v>
      </c>
      <c r="L211" t="str">
        <f>VLOOKUP(D211,Сountries!V:Z,2,0)</f>
        <v>America</v>
      </c>
      <c r="M211" t="str">
        <f>VLOOKUP(D211,Сountries!V:Z,5,0)</f>
        <v>🇰🇾</v>
      </c>
    </row>
    <row r="212" spans="1:13" x14ac:dyDescent="0.2">
      <c r="A212" s="43">
        <v>211</v>
      </c>
      <c r="B212" s="43" t="s">
        <v>628</v>
      </c>
      <c r="C212" s="43" t="s">
        <v>1308</v>
      </c>
      <c r="D212" s="43" t="s">
        <v>190</v>
      </c>
      <c r="E212" s="43">
        <v>261</v>
      </c>
      <c r="F212" s="43">
        <v>101</v>
      </c>
      <c r="G212" s="43">
        <v>260</v>
      </c>
      <c r="H212" s="43">
        <v>100</v>
      </c>
      <c r="I212" s="45">
        <v>1.7E-6</v>
      </c>
      <c r="L212" t="str">
        <f>VLOOKUP(D212,Сountries!V:Z,2,0)</f>
        <v>Oceania</v>
      </c>
      <c r="M212" t="str">
        <f>VLOOKUP(D212,Сountries!V:Z,5,0)</f>
        <v>🇰🇳</v>
      </c>
    </row>
    <row r="213" spans="1:13" x14ac:dyDescent="0.2">
      <c r="A213" s="43">
        <v>212</v>
      </c>
      <c r="B213" s="43" t="s">
        <v>628</v>
      </c>
      <c r="C213" s="43" t="s">
        <v>1380</v>
      </c>
      <c r="D213" s="43" t="s">
        <v>486</v>
      </c>
      <c r="E213" s="43">
        <v>260</v>
      </c>
      <c r="F213" s="43">
        <v>100</v>
      </c>
      <c r="G213" s="43">
        <v>260</v>
      </c>
      <c r="H213" s="43">
        <v>100</v>
      </c>
      <c r="I213" s="45">
        <v>1.7E-6</v>
      </c>
      <c r="L213" t="str">
        <f>VLOOKUP(D213,Сountries!V:Z,2,0)</f>
        <v>Oceania</v>
      </c>
      <c r="M213" t="str">
        <f>VLOOKUP(D213,Сountries!V:Z,5,0)</f>
        <v>🇳🇺</v>
      </c>
    </row>
    <row r="214" spans="1:13" x14ac:dyDescent="0.2">
      <c r="A214" s="43">
        <v>213</v>
      </c>
      <c r="B214" s="43" t="s">
        <v>625</v>
      </c>
      <c r="C214" s="43" t="s">
        <v>1336</v>
      </c>
      <c r="D214" s="43" t="s">
        <v>473</v>
      </c>
      <c r="E214" s="43">
        <v>242</v>
      </c>
      <c r="F214" s="43">
        <v>93</v>
      </c>
      <c r="G214" s="43">
        <v>230</v>
      </c>
      <c r="H214" s="43">
        <v>89</v>
      </c>
      <c r="I214" s="45">
        <v>1.5E-6</v>
      </c>
      <c r="L214" t="str">
        <f>VLOOKUP(D214,Сountries!V:Z,2,0)</f>
        <v>America</v>
      </c>
      <c r="M214" t="str">
        <f>VLOOKUP(D214,Сountries!V:Z,5,0)</f>
        <v>🇵🇲</v>
      </c>
    </row>
    <row r="215" spans="1:13" x14ac:dyDescent="0.2">
      <c r="A215" s="43">
        <v>214</v>
      </c>
      <c r="B215" s="43" t="s">
        <v>628</v>
      </c>
      <c r="C215" s="43" t="s">
        <v>1376</v>
      </c>
      <c r="D215" s="43" t="s">
        <v>461</v>
      </c>
      <c r="E215" s="43">
        <v>236</v>
      </c>
      <c r="F215" s="43">
        <v>91</v>
      </c>
      <c r="G215" s="43">
        <v>240</v>
      </c>
      <c r="H215" s="43">
        <v>93</v>
      </c>
      <c r="I215" s="45">
        <v>1.5999999999999999E-6</v>
      </c>
      <c r="L215" t="str">
        <f>VLOOKUP(D215,Сountries!V:Z,2,0)</f>
        <v>Oceania</v>
      </c>
      <c r="M215" t="str">
        <f>VLOOKUP(D215,Сountries!V:Z,5,0)</f>
        <v>🇨🇰</v>
      </c>
    </row>
    <row r="216" spans="1:13" x14ac:dyDescent="0.2">
      <c r="A216" s="43">
        <v>215</v>
      </c>
      <c r="B216" s="43" t="s">
        <v>628</v>
      </c>
      <c r="C216" s="43" t="s">
        <v>1372</v>
      </c>
      <c r="D216" s="43" t="s">
        <v>439</v>
      </c>
      <c r="E216" s="43">
        <v>199</v>
      </c>
      <c r="F216" s="43">
        <v>77</v>
      </c>
      <c r="G216" s="43">
        <v>200</v>
      </c>
      <c r="H216" s="43">
        <v>77</v>
      </c>
      <c r="I216" s="45">
        <v>1.3E-6</v>
      </c>
      <c r="L216" t="str">
        <f>VLOOKUP(D216,Сountries!V:Z,2,0)</f>
        <v>Oceania</v>
      </c>
      <c r="M216" t="str">
        <f>VLOOKUP(D216,Сountries!V:Z,5,0)</f>
        <v>🇦🇸</v>
      </c>
    </row>
    <row r="217" spans="1:13" x14ac:dyDescent="0.2">
      <c r="A217" s="43">
        <v>216</v>
      </c>
      <c r="B217" s="43" t="s">
        <v>628</v>
      </c>
      <c r="C217" s="43" t="s">
        <v>1311</v>
      </c>
      <c r="D217" s="43" t="s">
        <v>193</v>
      </c>
      <c r="E217" s="43">
        <v>181</v>
      </c>
      <c r="F217" s="43">
        <v>70</v>
      </c>
      <c r="G217" s="43">
        <v>180</v>
      </c>
      <c r="H217" s="43">
        <v>69</v>
      </c>
      <c r="I217" s="45">
        <v>1.1999999999999999E-6</v>
      </c>
      <c r="L217" t="str">
        <f>VLOOKUP(D217,Сountries!V:Z,2,0)</f>
        <v>Oceania</v>
      </c>
      <c r="M217" t="str">
        <f>VLOOKUP(D217,Сountries!V:Z,5,0)</f>
        <v>🇲🇭</v>
      </c>
    </row>
    <row r="218" spans="1:13" x14ac:dyDescent="0.2">
      <c r="A218" s="43">
        <v>217</v>
      </c>
      <c r="B218" s="43" t="s">
        <v>625</v>
      </c>
      <c r="C218" s="43" t="s">
        <v>1366</v>
      </c>
      <c r="D218" s="43" t="s">
        <v>413</v>
      </c>
      <c r="E218" s="43">
        <v>180</v>
      </c>
      <c r="F218" s="43">
        <v>69</v>
      </c>
      <c r="G218" s="43">
        <v>180</v>
      </c>
      <c r="H218" s="43">
        <v>69</v>
      </c>
      <c r="I218" s="45">
        <v>1.1999999999999999E-6</v>
      </c>
      <c r="L218" t="str">
        <f>VLOOKUP(D218,Сountries!V:Z,2,0)</f>
        <v>America</v>
      </c>
      <c r="M218" t="str">
        <f>VLOOKUP(D218,Сountries!V:Z,5,0)</f>
        <v>🇦🇼</v>
      </c>
    </row>
    <row r="219" spans="1:13" x14ac:dyDescent="0.2">
      <c r="A219" s="43">
        <v>218</v>
      </c>
      <c r="B219" s="43" t="s">
        <v>626</v>
      </c>
      <c r="C219" s="43" t="s">
        <v>1309</v>
      </c>
      <c r="D219" s="43" t="s">
        <v>191</v>
      </c>
      <c r="E219" s="43">
        <v>160</v>
      </c>
      <c r="F219" s="43">
        <v>62</v>
      </c>
      <c r="G219" s="43">
        <v>160</v>
      </c>
      <c r="H219" s="43">
        <v>62</v>
      </c>
      <c r="I219" s="45">
        <v>1.1000000000000001E-6</v>
      </c>
      <c r="L219" t="str">
        <f>VLOOKUP(D219,Сountries!V:Z,2,0)</f>
        <v>Europe</v>
      </c>
      <c r="M219" t="str">
        <f>VLOOKUP(D219,Сountries!V:Z,5,0)</f>
        <v>🇱🇮</v>
      </c>
    </row>
    <row r="220" spans="1:13" x14ac:dyDescent="0.2">
      <c r="A220" s="43">
        <v>219</v>
      </c>
      <c r="B220" s="43" t="s">
        <v>625</v>
      </c>
      <c r="C220" s="43" t="s">
        <v>1368</v>
      </c>
      <c r="D220" s="43" t="s">
        <v>449</v>
      </c>
      <c r="E220" s="43">
        <v>151</v>
      </c>
      <c r="F220" s="43">
        <v>58</v>
      </c>
      <c r="G220" s="43">
        <v>150</v>
      </c>
      <c r="H220" s="43">
        <v>58</v>
      </c>
      <c r="I220" s="45">
        <v>9.9999999999999995E-7</v>
      </c>
      <c r="L220" t="str">
        <f>VLOOKUP(D220,Сountries!V:Z,2,0)</f>
        <v>America</v>
      </c>
      <c r="M220" t="str">
        <f>VLOOKUP(D220,Сountries!V:Z,5,0)</f>
        <v>🇻🇬</v>
      </c>
    </row>
    <row r="221" spans="1:13" x14ac:dyDescent="0.2">
      <c r="A221" s="43">
        <v>220</v>
      </c>
      <c r="B221" s="43" t="s">
        <v>628</v>
      </c>
      <c r="C221" s="43" t="s">
        <v>1377</v>
      </c>
      <c r="D221" s="43" t="s">
        <v>467</v>
      </c>
      <c r="E221" s="43">
        <v>142</v>
      </c>
      <c r="F221" s="43">
        <v>55</v>
      </c>
      <c r="G221" s="43">
        <v>140</v>
      </c>
      <c r="H221" s="43">
        <v>54</v>
      </c>
      <c r="I221" s="45">
        <v>9.4E-7</v>
      </c>
      <c r="L221" t="str">
        <f>VLOOKUP(D221,Сountries!V:Z,2,0)</f>
        <v>Oceania</v>
      </c>
      <c r="M221" t="str">
        <f>VLOOKUP(D221,Сountries!V:Z,5,0)</f>
        <v>🇼🇫</v>
      </c>
    </row>
    <row r="222" spans="1:13" x14ac:dyDescent="0.2">
      <c r="A222" s="43">
        <v>221</v>
      </c>
      <c r="B222" s="43" t="s">
        <v>625</v>
      </c>
      <c r="C222" s="43" t="s">
        <v>1378</v>
      </c>
      <c r="D222" s="43" t="s">
        <v>479</v>
      </c>
      <c r="E222" s="43">
        <v>102</v>
      </c>
      <c r="F222" s="43">
        <v>39</v>
      </c>
      <c r="G222" s="43">
        <v>100</v>
      </c>
      <c r="H222" s="43">
        <v>39</v>
      </c>
      <c r="I222" s="45">
        <v>6.7000000000000004E-7</v>
      </c>
      <c r="L222" t="str">
        <f>VLOOKUP(D222,Сountries!V:Z,2,0)</f>
        <v>America</v>
      </c>
      <c r="M222" t="str">
        <f>VLOOKUP(D222,Сountries!V:Z,5,0)</f>
        <v>🇲🇸</v>
      </c>
    </row>
    <row r="223" spans="1:13" x14ac:dyDescent="0.2">
      <c r="A223" s="43">
        <v>222</v>
      </c>
      <c r="B223" s="43" t="s">
        <v>625</v>
      </c>
      <c r="C223" s="43" t="s">
        <v>1375</v>
      </c>
      <c r="D223" s="43" t="s">
        <v>460</v>
      </c>
      <c r="E223" s="43">
        <v>91</v>
      </c>
      <c r="F223" s="43">
        <v>35</v>
      </c>
      <c r="G223" s="43">
        <v>90</v>
      </c>
      <c r="H223" s="43">
        <v>35</v>
      </c>
      <c r="I223" s="45">
        <v>5.9999999999999997E-7</v>
      </c>
      <c r="L223" t="str">
        <f>VLOOKUP(D223,Сountries!V:Z,2,0)</f>
        <v>America</v>
      </c>
      <c r="M223" t="str">
        <f>VLOOKUP(D223,Сountries!V:Z,5,0)</f>
        <v>🇦🇮</v>
      </c>
    </row>
    <row r="224" spans="1:13" x14ac:dyDescent="0.2">
      <c r="A224" s="43">
        <v>223</v>
      </c>
      <c r="B224" s="43" t="s">
        <v>626</v>
      </c>
      <c r="C224" s="43" t="s">
        <v>1312</v>
      </c>
      <c r="D224" s="43" t="s">
        <v>194</v>
      </c>
      <c r="E224" s="43">
        <v>61</v>
      </c>
      <c r="F224" s="43">
        <v>24</v>
      </c>
      <c r="G224" s="43">
        <v>60</v>
      </c>
      <c r="H224" s="43">
        <v>23</v>
      </c>
      <c r="I224" s="45">
        <v>3.9999999999999998E-7</v>
      </c>
      <c r="L224" t="str">
        <f>VLOOKUP(D224,Сountries!V:Z,2,0)</f>
        <v>Europe</v>
      </c>
      <c r="M224" t="str">
        <f>VLOOKUP(D224,Сountries!V:Z,5,0)</f>
        <v>🇸🇲</v>
      </c>
    </row>
    <row r="225" spans="1:13" x14ac:dyDescent="0.2">
      <c r="A225" s="43">
        <v>224</v>
      </c>
      <c r="B225" s="43" t="s">
        <v>625</v>
      </c>
      <c r="C225" s="43" t="s">
        <v>1371</v>
      </c>
      <c r="D225" s="43" t="s">
        <v>430</v>
      </c>
      <c r="E225" s="43">
        <v>54</v>
      </c>
      <c r="F225" s="43">
        <v>21</v>
      </c>
      <c r="G225" s="43">
        <v>50</v>
      </c>
      <c r="H225" s="43">
        <v>19</v>
      </c>
      <c r="I225" s="45">
        <v>3.3999999999999997E-7</v>
      </c>
      <c r="L225" t="str">
        <f>VLOOKUP(D225,Сountries!V:Z,2,0)</f>
        <v>America</v>
      </c>
      <c r="M225" t="str">
        <f>VLOOKUP(D225,Сountries!V:Z,5,0)</f>
        <v>🇧🇲</v>
      </c>
    </row>
    <row r="226" spans="1:13" x14ac:dyDescent="0.2">
      <c r="A226" s="43">
        <v>225</v>
      </c>
      <c r="B226" s="43" t="s">
        <v>625</v>
      </c>
      <c r="C226" s="43" t="s">
        <v>1373</v>
      </c>
      <c r="D226" s="43" t="s">
        <v>443</v>
      </c>
      <c r="E226" s="43">
        <v>34</v>
      </c>
      <c r="F226" s="43">
        <v>13</v>
      </c>
      <c r="G226" s="43">
        <v>34</v>
      </c>
      <c r="H226" s="43">
        <v>13</v>
      </c>
      <c r="I226" s="45">
        <v>2.2999999999999999E-7</v>
      </c>
      <c r="L226" t="str">
        <f>VLOOKUP(D226,Сountries!V:Z,2,0)</f>
        <v>America</v>
      </c>
      <c r="M226" t="str">
        <f>VLOOKUP(D226,Сountries!V:Z,5,0)</f>
        <v>🇸🇽</v>
      </c>
    </row>
    <row r="227" spans="1:13" x14ac:dyDescent="0.2">
      <c r="A227" s="43">
        <v>226</v>
      </c>
      <c r="B227" s="43" t="s">
        <v>624</v>
      </c>
      <c r="C227" s="43" t="s">
        <v>1339</v>
      </c>
      <c r="D227" s="43" t="s">
        <v>379</v>
      </c>
      <c r="E227" s="43">
        <v>30</v>
      </c>
      <c r="F227" s="43">
        <v>12</v>
      </c>
      <c r="G227" s="43">
        <v>30</v>
      </c>
      <c r="H227" s="43">
        <v>12</v>
      </c>
      <c r="I227" s="45">
        <v>1.9999999999999999E-7</v>
      </c>
      <c r="L227" t="str">
        <f>VLOOKUP(D227,Сountries!V:Z,2,0)</f>
        <v>Asia</v>
      </c>
      <c r="M227" t="str">
        <f>VLOOKUP(D227,Сountries!V:Z,5,0)</f>
        <v>🇲🇴</v>
      </c>
    </row>
    <row r="228" spans="1:13" x14ac:dyDescent="0.2">
      <c r="A228" s="43">
        <v>227</v>
      </c>
      <c r="B228" s="43" t="s">
        <v>628</v>
      </c>
      <c r="C228" s="43" t="s">
        <v>1315</v>
      </c>
      <c r="D228" s="43" t="s">
        <v>197</v>
      </c>
      <c r="E228" s="43">
        <v>26</v>
      </c>
      <c r="F228" s="43">
        <v>10</v>
      </c>
      <c r="G228" s="43">
        <v>30</v>
      </c>
      <c r="H228" s="43">
        <v>12</v>
      </c>
      <c r="I228" s="45">
        <v>1.9999999999999999E-7</v>
      </c>
      <c r="L228" t="str">
        <f>VLOOKUP(D228,Сountries!V:Z,2,0)</f>
        <v>Oceania</v>
      </c>
      <c r="M228" t="str">
        <f>VLOOKUP(D228,Сountries!V:Z,5,0)</f>
        <v>🇹🇻</v>
      </c>
    </row>
    <row r="229" spans="1:13" x14ac:dyDescent="0.2">
      <c r="A229" s="43">
        <v>228</v>
      </c>
      <c r="B229" s="43" t="s">
        <v>628</v>
      </c>
      <c r="C229" s="43" t="s">
        <v>1314</v>
      </c>
      <c r="D229" s="43" t="s">
        <v>196</v>
      </c>
      <c r="E229" s="43">
        <v>21</v>
      </c>
      <c r="F229" s="43">
        <v>8</v>
      </c>
      <c r="G229" s="43">
        <v>20</v>
      </c>
      <c r="H229" s="43">
        <v>8</v>
      </c>
      <c r="I229" s="45">
        <v>1.3E-7</v>
      </c>
      <c r="L229" t="str">
        <f>VLOOKUP(D229,Сountries!V:Z,2,0)</f>
        <v>Oceania</v>
      </c>
      <c r="M229" t="str">
        <f>VLOOKUP(D229,Сountries!V:Z,5,0)</f>
        <v>🇳🇷</v>
      </c>
    </row>
    <row r="230" spans="1:13" x14ac:dyDescent="0.2">
      <c r="A230" s="43">
        <v>229</v>
      </c>
      <c r="B230" s="43" t="s">
        <v>625</v>
      </c>
      <c r="C230" s="43" t="s">
        <v>1335</v>
      </c>
      <c r="D230" s="43" t="s">
        <v>466</v>
      </c>
      <c r="E230" s="43">
        <v>21</v>
      </c>
      <c r="F230" s="43">
        <v>8</v>
      </c>
      <c r="G230" s="43">
        <v>21</v>
      </c>
      <c r="H230" s="43">
        <v>8</v>
      </c>
      <c r="I230" s="45">
        <v>1.4000000000000001E-7</v>
      </c>
      <c r="L230" t="str">
        <f>VLOOKUP(D230,Сountries!V:Z,2,0)</f>
        <v>America</v>
      </c>
      <c r="M230" t="str">
        <f>VLOOKUP(D230,Сountries!V:Z,5,0)</f>
        <v>🇧🇱</v>
      </c>
    </row>
    <row r="231" spans="1:13" x14ac:dyDescent="0.2">
      <c r="A231" s="43">
        <v>230</v>
      </c>
      <c r="B231" s="43" t="s">
        <v>628</v>
      </c>
      <c r="C231" s="43" t="s">
        <v>1379</v>
      </c>
      <c r="D231" s="43" t="s">
        <v>485</v>
      </c>
      <c r="E231" s="43">
        <v>12</v>
      </c>
      <c r="F231" s="43">
        <v>5</v>
      </c>
      <c r="G231" s="43">
        <v>10</v>
      </c>
      <c r="H231" s="43">
        <v>4</v>
      </c>
      <c r="I231" s="45">
        <v>6.7000000000000004E-8</v>
      </c>
      <c r="L231" t="str">
        <f>VLOOKUP(D231,Сountries!V:Z,2,0)</f>
        <v>Oceania</v>
      </c>
      <c r="M231" t="str">
        <f>VLOOKUP(D231,Сountries!V:Z,5,0)</f>
        <v>🇹🇰</v>
      </c>
    </row>
    <row r="232" spans="1:13" x14ac:dyDescent="0.2">
      <c r="A232" s="43">
        <v>231</v>
      </c>
      <c r="B232" s="43" t="s">
        <v>626</v>
      </c>
      <c r="C232" s="43" t="s">
        <v>1333</v>
      </c>
      <c r="D232" s="43" t="s">
        <v>448</v>
      </c>
      <c r="E232" s="43">
        <v>6</v>
      </c>
      <c r="F232" s="43">
        <v>2</v>
      </c>
      <c r="G232" s="43">
        <v>10</v>
      </c>
      <c r="H232" s="43">
        <v>4</v>
      </c>
      <c r="I232" s="45">
        <v>6.7000000000000004E-8</v>
      </c>
      <c r="L232" t="str">
        <f>VLOOKUP(D232,Сountries!V:Z,2,0)</f>
        <v>Europe</v>
      </c>
      <c r="M232" t="str">
        <f>VLOOKUP(D232,Сountries!V:Z,5,0)</f>
        <v>🇬🇮</v>
      </c>
    </row>
    <row r="233" spans="1:13" x14ac:dyDescent="0.2">
      <c r="A233" s="43">
        <v>232</v>
      </c>
      <c r="B233" s="43" t="s">
        <v>626</v>
      </c>
      <c r="C233" s="43" t="s">
        <v>1310</v>
      </c>
      <c r="D233" s="43" t="s">
        <v>192</v>
      </c>
      <c r="E233" s="43">
        <v>2</v>
      </c>
      <c r="F233" s="43">
        <v>1</v>
      </c>
      <c r="G233" s="43">
        <v>1</v>
      </c>
      <c r="H233" s="43">
        <v>1</v>
      </c>
      <c r="I233" s="45">
        <v>1E-8</v>
      </c>
      <c r="L233" t="str">
        <f>VLOOKUP(D233,Сountries!V:Z,2,0)</f>
        <v>Europe</v>
      </c>
      <c r="M233" t="str">
        <f>VLOOKUP(D233,Сountries!V:Z,5,0)</f>
        <v>🇲🇨</v>
      </c>
    </row>
    <row r="234" spans="1:13" x14ac:dyDescent="0.2">
      <c r="A234" s="43">
        <v>233</v>
      </c>
      <c r="B234" s="43" t="s">
        <v>626</v>
      </c>
      <c r="C234" s="43" t="s">
        <v>1218</v>
      </c>
      <c r="D234" s="43" t="s">
        <v>198</v>
      </c>
      <c r="E234" s="43">
        <v>0</v>
      </c>
      <c r="F234" s="43">
        <v>0</v>
      </c>
      <c r="G234" s="43">
        <v>0</v>
      </c>
      <c r="H234" s="43">
        <v>0</v>
      </c>
      <c r="I234" s="45">
        <v>2.7000000000000002E-9</v>
      </c>
      <c r="L234" t="str">
        <f>VLOOKUP(D234,Сountries!V:Z,2,0)</f>
        <v>Europe</v>
      </c>
      <c r="M234" t="str">
        <f>VLOOKUP(D234,Сountries!V:Z,5,0)</f>
        <v>🇻🇦</v>
      </c>
    </row>
  </sheetData>
  <autoFilter ref="A1:M234" xr:uid="{D7411908-4745-B24F-A894-44DB6AE717FB}"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56162-1844-3744-8148-B3F6150A1A39}">
  <sheetPr>
    <tabColor theme="9" tint="-0.499984740745262"/>
  </sheetPr>
  <dimension ref="A1:M182"/>
  <sheetViews>
    <sheetView workbookViewId="0">
      <pane ySplit="1" topLeftCell="A2" activePane="bottomLeft" state="frozen"/>
      <selection pane="bottomLeft" activeCell="L1" sqref="L1"/>
    </sheetView>
  </sheetViews>
  <sheetFormatPr baseColWidth="10" defaultRowHeight="16" x14ac:dyDescent="0.2"/>
  <cols>
    <col min="1" max="1" width="5.1640625" bestFit="1" customWidth="1"/>
    <col min="2" max="2" width="30" bestFit="1" customWidth="1"/>
    <col min="3" max="3" width="10.33203125" customWidth="1"/>
    <col min="4" max="4" width="22.5" bestFit="1" customWidth="1"/>
    <col min="5" max="6" width="11.5" customWidth="1"/>
    <col min="7" max="7" width="25" bestFit="1" customWidth="1"/>
    <col min="8" max="8" width="25" customWidth="1"/>
    <col min="9" max="9" width="21.5" customWidth="1"/>
    <col min="10" max="10" width="15.6640625" bestFit="1" customWidth="1"/>
    <col min="11" max="11" width="19" bestFit="1" customWidth="1"/>
    <col min="12" max="12" width="18.33203125" bestFit="1" customWidth="1"/>
    <col min="13" max="13" width="24.33203125" bestFit="1" customWidth="1"/>
  </cols>
  <sheetData>
    <row r="1" spans="1:13" ht="19" x14ac:dyDescent="0.2">
      <c r="A1" s="49" t="s">
        <v>0</v>
      </c>
      <c r="B1" s="49" t="s">
        <v>1003</v>
      </c>
      <c r="C1" s="49" t="s">
        <v>1331</v>
      </c>
      <c r="D1" s="49" t="s">
        <v>1</v>
      </c>
      <c r="E1" s="49" t="s">
        <v>1331</v>
      </c>
      <c r="F1" s="49" t="s">
        <v>1003</v>
      </c>
      <c r="G1" s="49" t="s">
        <v>1316</v>
      </c>
      <c r="H1" s="49" t="s">
        <v>1589</v>
      </c>
      <c r="I1" s="49" t="s">
        <v>1381</v>
      </c>
      <c r="J1" s="49" t="s">
        <v>1382</v>
      </c>
      <c r="K1" s="49" t="s">
        <v>1383</v>
      </c>
      <c r="L1" s="49" t="s">
        <v>1384</v>
      </c>
      <c r="M1" s="49" t="s">
        <v>1385</v>
      </c>
    </row>
    <row r="2" spans="1:13" ht="19" x14ac:dyDescent="0.2">
      <c r="A2" s="50">
        <v>1</v>
      </c>
      <c r="B2" s="50" t="s">
        <v>625</v>
      </c>
      <c r="C2" s="50" t="s">
        <v>497</v>
      </c>
      <c r="D2" s="23" t="s">
        <v>6</v>
      </c>
      <c r="E2" s="58" t="str">
        <f>VLOOKUP(D2,all_countries!D:E,2,0)</f>
        <v>🇺🇸</v>
      </c>
      <c r="F2" s="58" t="str">
        <f>VLOOKUP(D2,Сountries!V:Z,2,0)</f>
        <v>America</v>
      </c>
      <c r="G2" s="52">
        <v>27720700000000</v>
      </c>
      <c r="H2" s="59">
        <f>G2/1000000000</f>
        <v>27720.7</v>
      </c>
      <c r="I2" s="53" t="s">
        <v>1386</v>
      </c>
      <c r="J2" s="54">
        <v>2.8899999999999999E-2</v>
      </c>
      <c r="K2" s="55">
        <v>343477335</v>
      </c>
      <c r="L2" s="52">
        <v>80706</v>
      </c>
      <c r="M2" s="54">
        <v>0.2611</v>
      </c>
    </row>
    <row r="3" spans="1:13" ht="19" x14ac:dyDescent="0.2">
      <c r="A3" s="50">
        <v>2</v>
      </c>
      <c r="B3" s="50" t="s">
        <v>624</v>
      </c>
      <c r="C3" s="50" t="s">
        <v>496</v>
      </c>
      <c r="D3" s="23" t="s">
        <v>5</v>
      </c>
      <c r="E3" s="58" t="str">
        <f>VLOOKUP(D3,all_countries!D:E,2,0)</f>
        <v>🇨🇳</v>
      </c>
      <c r="F3" s="58" t="str">
        <f>VLOOKUP(D3,Сountries!V:Z,2,0)</f>
        <v>Asia</v>
      </c>
      <c r="G3" s="52">
        <v>17794800000000</v>
      </c>
      <c r="H3" s="59">
        <f t="shared" ref="H3:H66" si="0">G3/1000000000</f>
        <v>17794.8</v>
      </c>
      <c r="I3" s="53" t="s">
        <v>1387</v>
      </c>
      <c r="J3" s="54">
        <v>5.2499999999999998E-2</v>
      </c>
      <c r="K3" s="55">
        <v>1422584933</v>
      </c>
      <c r="L3" s="52">
        <v>12509</v>
      </c>
      <c r="M3" s="54">
        <v>0.1676</v>
      </c>
    </row>
    <row r="4" spans="1:13" ht="19" x14ac:dyDescent="0.2">
      <c r="A4" s="50">
        <v>3</v>
      </c>
      <c r="B4" s="50" t="s">
        <v>626</v>
      </c>
      <c r="C4" s="50" t="s">
        <v>513</v>
      </c>
      <c r="D4" s="23" t="s">
        <v>22</v>
      </c>
      <c r="E4" s="58" t="str">
        <f>VLOOKUP(D4,all_countries!D:E,2,0)</f>
        <v>🇩🇪</v>
      </c>
      <c r="F4" s="58" t="str">
        <f>VLOOKUP(D4,Сountries!V:Z,2,0)</f>
        <v>Europe</v>
      </c>
      <c r="G4" s="52">
        <v>4525700000000</v>
      </c>
      <c r="H4" s="59">
        <f t="shared" si="0"/>
        <v>4525.7</v>
      </c>
      <c r="I4" s="53" t="s">
        <v>1388</v>
      </c>
      <c r="J4" s="53" t="s">
        <v>1389</v>
      </c>
      <c r="K4" s="55">
        <v>84548231</v>
      </c>
      <c r="L4" s="52">
        <v>53528</v>
      </c>
      <c r="M4" s="54">
        <v>4.2599999999999999E-2</v>
      </c>
    </row>
    <row r="5" spans="1:13" ht="19" x14ac:dyDescent="0.2">
      <c r="A5" s="50">
        <v>4</v>
      </c>
      <c r="B5" s="50" t="s">
        <v>624</v>
      </c>
      <c r="C5" s="50" t="s">
        <v>506</v>
      </c>
      <c r="D5" s="23" t="s">
        <v>15</v>
      </c>
      <c r="E5" s="58" t="str">
        <f>VLOOKUP(D5,all_countries!D:E,2,0)</f>
        <v>🇯🇵</v>
      </c>
      <c r="F5" s="58" t="str">
        <f>VLOOKUP(D5,Сountries!V:Z,2,0)</f>
        <v>Asia</v>
      </c>
      <c r="G5" s="52">
        <v>4204490000000</v>
      </c>
      <c r="H5" s="59">
        <f t="shared" si="0"/>
        <v>4204.49</v>
      </c>
      <c r="I5" s="53" t="s">
        <v>1390</v>
      </c>
      <c r="J5" s="54">
        <v>1.6799999999999999E-2</v>
      </c>
      <c r="K5" s="55">
        <v>124370947</v>
      </c>
      <c r="L5" s="52">
        <v>33806</v>
      </c>
      <c r="M5" s="54">
        <v>3.9600000000000003E-2</v>
      </c>
    </row>
    <row r="6" spans="1:13" ht="19" x14ac:dyDescent="0.2">
      <c r="A6" s="50">
        <v>5</v>
      </c>
      <c r="B6" s="50" t="s">
        <v>624</v>
      </c>
      <c r="C6" s="50" t="s">
        <v>495</v>
      </c>
      <c r="D6" s="23" t="s">
        <v>4</v>
      </c>
      <c r="E6" s="58" t="str">
        <f>VLOOKUP(D6,all_countries!D:E,2,0)</f>
        <v>🇮🇳</v>
      </c>
      <c r="F6" s="58" t="str">
        <f>VLOOKUP(D6,Сountries!V:Z,2,0)</f>
        <v>Asia</v>
      </c>
      <c r="G6" s="52">
        <v>3567550000000</v>
      </c>
      <c r="H6" s="59">
        <f t="shared" si="0"/>
        <v>3567.55</v>
      </c>
      <c r="I6" s="53" t="s">
        <v>1391</v>
      </c>
      <c r="J6" s="54">
        <v>8.1500000000000003E-2</v>
      </c>
      <c r="K6" s="55">
        <v>1438069596</v>
      </c>
      <c r="L6" s="52">
        <v>2481</v>
      </c>
      <c r="M6" s="54">
        <v>3.3599999999999998E-2</v>
      </c>
    </row>
    <row r="7" spans="1:13" ht="19" x14ac:dyDescent="0.2">
      <c r="A7" s="50">
        <v>6</v>
      </c>
      <c r="B7" s="50" t="s">
        <v>626</v>
      </c>
      <c r="C7" s="50" t="s">
        <v>516</v>
      </c>
      <c r="D7" s="23" t="s">
        <v>25</v>
      </c>
      <c r="E7" s="58" t="str">
        <f>VLOOKUP(D7,all_countries!D:E,2,0)</f>
        <v>🇬🇧</v>
      </c>
      <c r="F7" s="58" t="str">
        <f>VLOOKUP(D7,Сountries!V:Z,2,0)</f>
        <v>Europe</v>
      </c>
      <c r="G7" s="52">
        <v>3380850000000</v>
      </c>
      <c r="H7" s="59">
        <f t="shared" si="0"/>
        <v>3380.85</v>
      </c>
      <c r="I7" s="53" t="s">
        <v>1392</v>
      </c>
      <c r="J7" s="54">
        <v>3.3999999999999998E-3</v>
      </c>
      <c r="K7" s="55">
        <v>68682962</v>
      </c>
      <c r="L7" s="52">
        <v>49224</v>
      </c>
      <c r="M7" s="54">
        <v>3.1800000000000002E-2</v>
      </c>
    </row>
    <row r="8" spans="1:13" ht="19" x14ac:dyDescent="0.2">
      <c r="A8" s="50">
        <v>7</v>
      </c>
      <c r="B8" s="50" t="s">
        <v>626</v>
      </c>
      <c r="C8" s="50" t="s">
        <v>519</v>
      </c>
      <c r="D8" s="23" t="s">
        <v>26</v>
      </c>
      <c r="E8" s="58" t="str">
        <f>VLOOKUP(D8,all_countries!D:E,2,0)</f>
        <v>🇫🇷</v>
      </c>
      <c r="F8" s="58" t="str">
        <f>VLOOKUP(D8,Сountries!V:Z,2,0)</f>
        <v>Europe</v>
      </c>
      <c r="G8" s="52">
        <v>3051830000000</v>
      </c>
      <c r="H8" s="59">
        <f t="shared" si="0"/>
        <v>3051.83</v>
      </c>
      <c r="I8" s="53" t="s">
        <v>1393</v>
      </c>
      <c r="J8" s="54">
        <v>9.4000000000000004E-3</v>
      </c>
      <c r="K8" s="55">
        <v>66438822</v>
      </c>
      <c r="L8" s="52">
        <v>45934</v>
      </c>
      <c r="M8" s="54">
        <v>2.87E-2</v>
      </c>
    </row>
    <row r="9" spans="1:13" ht="19" x14ac:dyDescent="0.2">
      <c r="A9" s="50">
        <v>8</v>
      </c>
      <c r="B9" s="50" t="s">
        <v>626</v>
      </c>
      <c r="C9" s="50" t="s">
        <v>521</v>
      </c>
      <c r="D9" s="23" t="s">
        <v>28</v>
      </c>
      <c r="E9" s="58" t="str">
        <f>VLOOKUP(D9,all_countries!D:E,2,0)</f>
        <v>🇮🇹</v>
      </c>
      <c r="F9" s="58" t="str">
        <f>VLOOKUP(D9,Сountries!V:Z,2,0)</f>
        <v>Europe</v>
      </c>
      <c r="G9" s="52">
        <v>2300940000000</v>
      </c>
      <c r="H9" s="59">
        <f t="shared" si="0"/>
        <v>2300.94</v>
      </c>
      <c r="I9" s="53" t="s">
        <v>1394</v>
      </c>
      <c r="J9" s="54">
        <v>7.0000000000000001E-3</v>
      </c>
      <c r="K9" s="55">
        <v>59499453</v>
      </c>
      <c r="L9" s="52">
        <v>38672</v>
      </c>
      <c r="M9" s="54">
        <v>2.1700000000000001E-2</v>
      </c>
    </row>
    <row r="10" spans="1:13" ht="19" x14ac:dyDescent="0.2">
      <c r="A10" s="50">
        <v>9</v>
      </c>
      <c r="B10" s="50" t="s">
        <v>625</v>
      </c>
      <c r="C10" s="50" t="s">
        <v>501</v>
      </c>
      <c r="D10" s="23" t="s">
        <v>10</v>
      </c>
      <c r="E10" s="58" t="str">
        <f>VLOOKUP(D10,all_countries!D:E,2,0)</f>
        <v>🇧🇷</v>
      </c>
      <c r="F10" s="58" t="str">
        <f>VLOOKUP(D10,Сountries!V:Z,2,0)</f>
        <v>America</v>
      </c>
      <c r="G10" s="52">
        <v>2173670000000</v>
      </c>
      <c r="H10" s="59">
        <f t="shared" si="0"/>
        <v>2173.67</v>
      </c>
      <c r="I10" s="53" t="s">
        <v>1395</v>
      </c>
      <c r="J10" s="54">
        <v>2.9100000000000001E-2</v>
      </c>
      <c r="K10" s="55">
        <v>211140729</v>
      </c>
      <c r="L10" s="52">
        <v>10295</v>
      </c>
      <c r="M10" s="54">
        <v>2.0500000000000001E-2</v>
      </c>
    </row>
    <row r="11" spans="1:13" ht="19" x14ac:dyDescent="0.2">
      <c r="A11" s="50">
        <v>10</v>
      </c>
      <c r="B11" s="50" t="s">
        <v>625</v>
      </c>
      <c r="C11" s="50" t="s">
        <v>534</v>
      </c>
      <c r="D11" s="23" t="s">
        <v>41</v>
      </c>
      <c r="E11" s="58" t="str">
        <f>VLOOKUP(D11,all_countries!D:E,2,0)</f>
        <v>🇨🇦</v>
      </c>
      <c r="F11" s="58" t="str">
        <f>VLOOKUP(D11,Сountries!V:Z,2,0)</f>
        <v>America</v>
      </c>
      <c r="G11" s="52">
        <v>2142470000000</v>
      </c>
      <c r="H11" s="59">
        <f t="shared" si="0"/>
        <v>2142.4699999999998</v>
      </c>
      <c r="I11" s="53" t="s">
        <v>1396</v>
      </c>
      <c r="J11" s="54">
        <v>1.2500000000000001E-2</v>
      </c>
      <c r="K11" s="55">
        <v>39299105</v>
      </c>
      <c r="L11" s="52">
        <v>54517</v>
      </c>
      <c r="M11" s="54">
        <v>2.0199999999999999E-2</v>
      </c>
    </row>
    <row r="12" spans="1:13" ht="19" x14ac:dyDescent="0.2">
      <c r="A12" s="50">
        <v>11</v>
      </c>
      <c r="B12" s="50" t="s">
        <v>626</v>
      </c>
      <c r="C12" s="50" t="s">
        <v>503</v>
      </c>
      <c r="D12" s="23" t="s">
        <v>984</v>
      </c>
      <c r="E12" s="58" t="str">
        <f>VLOOKUP(D12,all_countries!D:E,2,0)</f>
        <v>🇷🇺</v>
      </c>
      <c r="F12" s="58" t="str">
        <f>VLOOKUP(D12,Сountries!V:Z,2,0)</f>
        <v>Europe</v>
      </c>
      <c r="G12" s="52">
        <v>2021420000000</v>
      </c>
      <c r="H12" s="59">
        <f t="shared" si="0"/>
        <v>2021.42</v>
      </c>
      <c r="I12" s="53" t="s">
        <v>1397</v>
      </c>
      <c r="J12" s="54">
        <v>3.5999999999999997E-2</v>
      </c>
      <c r="K12" s="55">
        <v>145440500</v>
      </c>
      <c r="L12" s="52">
        <v>13899</v>
      </c>
      <c r="M12" s="54">
        <v>1.9E-2</v>
      </c>
    </row>
    <row r="13" spans="1:13" ht="19" x14ac:dyDescent="0.2">
      <c r="A13" s="50">
        <v>12</v>
      </c>
      <c r="B13" s="50" t="s">
        <v>625</v>
      </c>
      <c r="C13" s="50" t="s">
        <v>505</v>
      </c>
      <c r="D13" s="23" t="s">
        <v>14</v>
      </c>
      <c r="E13" s="58" t="str">
        <f>VLOOKUP(D13,all_countries!D:E,2,0)</f>
        <v>🇲🇽</v>
      </c>
      <c r="F13" s="58" t="str">
        <f>VLOOKUP(D13,Сountries!V:Z,2,0)</f>
        <v>America</v>
      </c>
      <c r="G13" s="52">
        <v>1789110000000</v>
      </c>
      <c r="H13" s="59">
        <f t="shared" si="0"/>
        <v>1789.11</v>
      </c>
      <c r="I13" s="53" t="s">
        <v>1398</v>
      </c>
      <c r="J13" s="54">
        <v>3.2000000000000001E-2</v>
      </c>
      <c r="K13" s="55">
        <v>129739759</v>
      </c>
      <c r="L13" s="52">
        <v>13790</v>
      </c>
      <c r="M13" s="54">
        <v>1.6899999999999998E-2</v>
      </c>
    </row>
    <row r="14" spans="1:13" ht="19" x14ac:dyDescent="0.2">
      <c r="A14" s="50">
        <v>13</v>
      </c>
      <c r="B14" s="50" t="s">
        <v>620</v>
      </c>
      <c r="C14" s="50" t="s">
        <v>597</v>
      </c>
      <c r="D14" s="23" t="s">
        <v>58</v>
      </c>
      <c r="E14" s="58" t="str">
        <f>VLOOKUP(D14,all_countries!D:E,2,0)</f>
        <v>🇦🇺</v>
      </c>
      <c r="F14" s="58" t="str">
        <f>VLOOKUP(D14,Сountries!V:Z,2,0)</f>
        <v>Australia and New Zealand</v>
      </c>
      <c r="G14" s="52">
        <v>1728060000000</v>
      </c>
      <c r="H14" s="59">
        <f t="shared" si="0"/>
        <v>1728.06</v>
      </c>
      <c r="I14" s="53" t="s">
        <v>1399</v>
      </c>
      <c r="J14" s="54">
        <v>3.44E-2</v>
      </c>
      <c r="K14" s="55">
        <v>26451124</v>
      </c>
      <c r="L14" s="52">
        <v>65330</v>
      </c>
      <c r="M14" s="54">
        <v>1.6299999999999999E-2</v>
      </c>
    </row>
    <row r="15" spans="1:13" ht="19" x14ac:dyDescent="0.2">
      <c r="A15" s="50">
        <v>14</v>
      </c>
      <c r="B15" s="50" t="s">
        <v>624</v>
      </c>
      <c r="C15" s="50" t="s">
        <v>524</v>
      </c>
      <c r="D15" s="23" t="s">
        <v>32</v>
      </c>
      <c r="E15" s="58" t="str">
        <f>VLOOKUP(D15,all_countries!D:E,2,0)</f>
        <v>🇰🇷</v>
      </c>
      <c r="F15" s="58" t="str">
        <f>VLOOKUP(D15,Сountries!V:Z,2,0)</f>
        <v>Asia</v>
      </c>
      <c r="G15" s="52">
        <v>1712790000000</v>
      </c>
      <c r="H15" s="59">
        <f t="shared" si="0"/>
        <v>1712.79</v>
      </c>
      <c r="I15" s="53" t="s">
        <v>1400</v>
      </c>
      <c r="J15" s="54">
        <v>1.3599999999999999E-2</v>
      </c>
      <c r="K15" s="55">
        <v>51748739</v>
      </c>
      <c r="L15" s="52">
        <v>33098</v>
      </c>
      <c r="M15" s="54">
        <v>1.61E-2</v>
      </c>
    </row>
    <row r="16" spans="1:13" ht="19" x14ac:dyDescent="0.2">
      <c r="A16" s="50">
        <v>15</v>
      </c>
      <c r="B16" s="50" t="s">
        <v>626</v>
      </c>
      <c r="C16" s="50" t="s">
        <v>528</v>
      </c>
      <c r="D16" s="23" t="s">
        <v>35</v>
      </c>
      <c r="E16" s="58" t="str">
        <f>VLOOKUP(D16,all_countries!D:E,2,0)</f>
        <v>🇪🇸</v>
      </c>
      <c r="F16" s="58" t="str">
        <f>VLOOKUP(D16,Сountries!V:Z,2,0)</f>
        <v>Europe</v>
      </c>
      <c r="G16" s="52">
        <v>1620090000000</v>
      </c>
      <c r="H16" s="59">
        <f t="shared" si="0"/>
        <v>1620.09</v>
      </c>
      <c r="I16" s="53" t="s">
        <v>1401</v>
      </c>
      <c r="J16" s="54">
        <v>2.6800000000000001E-2</v>
      </c>
      <c r="K16" s="55">
        <v>47911579</v>
      </c>
      <c r="L16" s="52">
        <v>33814</v>
      </c>
      <c r="M16" s="54">
        <v>1.5299999999999999E-2</v>
      </c>
    </row>
    <row r="17" spans="1:13" ht="19" x14ac:dyDescent="0.2">
      <c r="A17" s="50">
        <v>16</v>
      </c>
      <c r="B17" s="50" t="s">
        <v>624</v>
      </c>
      <c r="C17" s="50" t="s">
        <v>498</v>
      </c>
      <c r="D17" s="23" t="s">
        <v>7</v>
      </c>
      <c r="E17" s="58" t="str">
        <f>VLOOKUP(D17,all_countries!D:E,2,0)</f>
        <v>🇮🇩</v>
      </c>
      <c r="F17" s="58" t="str">
        <f>VLOOKUP(D17,Сountries!V:Z,2,0)</f>
        <v>Asia</v>
      </c>
      <c r="G17" s="52">
        <v>1371170000000</v>
      </c>
      <c r="H17" s="59">
        <f t="shared" si="0"/>
        <v>1371.17</v>
      </c>
      <c r="I17" s="53" t="s">
        <v>1402</v>
      </c>
      <c r="J17" s="54">
        <v>5.0500000000000003E-2</v>
      </c>
      <c r="K17" s="55">
        <v>281190067</v>
      </c>
      <c r="L17" s="52">
        <v>4876</v>
      </c>
      <c r="M17" s="54">
        <v>1.29E-2</v>
      </c>
    </row>
    <row r="18" spans="1:13" ht="19" x14ac:dyDescent="0.2">
      <c r="A18" s="50">
        <v>17</v>
      </c>
      <c r="B18" s="50" t="s">
        <v>626</v>
      </c>
      <c r="C18" s="50" t="s">
        <v>569</v>
      </c>
      <c r="D18" s="23" t="s">
        <v>73</v>
      </c>
      <c r="E18" s="58" t="str">
        <f>VLOOKUP(D18,all_countries!D:E,2,0)</f>
        <v>🇳🇱</v>
      </c>
      <c r="F18" s="58" t="str">
        <f>VLOOKUP(D18,Сountries!V:Z,2,0)</f>
        <v>Europe</v>
      </c>
      <c r="G18" s="52">
        <v>1154360000000</v>
      </c>
      <c r="H18" s="59">
        <f t="shared" si="0"/>
        <v>1154.3599999999999</v>
      </c>
      <c r="I18" s="53" t="s">
        <v>1403</v>
      </c>
      <c r="J18" s="54">
        <v>6.9999999999999999E-4</v>
      </c>
      <c r="K18" s="55">
        <v>18092524</v>
      </c>
      <c r="L18" s="52">
        <v>63803</v>
      </c>
      <c r="M18" s="54">
        <v>1.09E-2</v>
      </c>
    </row>
    <row r="19" spans="1:13" ht="19" x14ac:dyDescent="0.2">
      <c r="A19" s="50">
        <v>18</v>
      </c>
      <c r="B19" s="50" t="s">
        <v>624</v>
      </c>
      <c r="C19" s="50" t="s">
        <v>512</v>
      </c>
      <c r="D19" s="23" t="s">
        <v>21</v>
      </c>
      <c r="E19" s="58" t="str">
        <f>VLOOKUP(D19,all_countries!D:E,2,0)</f>
        <v>🇹🇷</v>
      </c>
      <c r="F19" s="58" t="str">
        <f>VLOOKUP(D19,Сountries!V:Z,2,0)</f>
        <v>Asia</v>
      </c>
      <c r="G19" s="52">
        <v>1118250000000</v>
      </c>
      <c r="H19" s="59">
        <f t="shared" si="0"/>
        <v>1118.25</v>
      </c>
      <c r="I19" s="53" t="s">
        <v>1404</v>
      </c>
      <c r="J19" s="54">
        <v>5.11E-2</v>
      </c>
      <c r="K19" s="55">
        <v>87270501</v>
      </c>
      <c r="L19" s="52">
        <v>12814</v>
      </c>
      <c r="M19" s="54">
        <v>1.0500000000000001E-2</v>
      </c>
    </row>
    <row r="20" spans="1:13" ht="19" x14ac:dyDescent="0.2">
      <c r="A20" s="50">
        <v>19</v>
      </c>
      <c r="B20" s="50" t="s">
        <v>624</v>
      </c>
      <c r="C20" s="50" t="s">
        <v>551</v>
      </c>
      <c r="D20" s="23" t="s">
        <v>51</v>
      </c>
      <c r="E20" s="58" t="str">
        <f>VLOOKUP(D20,all_countries!D:E,2,0)</f>
        <v>🇸🇦</v>
      </c>
      <c r="F20" s="58" t="str">
        <f>VLOOKUP(D20,Сountries!V:Z,2,0)</f>
        <v>Asia</v>
      </c>
      <c r="G20" s="52">
        <v>1067580000000</v>
      </c>
      <c r="H20" s="59">
        <f t="shared" si="0"/>
        <v>1067.58</v>
      </c>
      <c r="I20" s="53" t="s">
        <v>1405</v>
      </c>
      <c r="J20" s="53" t="s">
        <v>338</v>
      </c>
      <c r="K20" s="55">
        <v>33264292</v>
      </c>
      <c r="L20" s="52">
        <v>32094</v>
      </c>
      <c r="M20" s="54">
        <v>1.01E-2</v>
      </c>
    </row>
    <row r="21" spans="1:13" ht="19" x14ac:dyDescent="0.2">
      <c r="A21" s="50">
        <v>20</v>
      </c>
      <c r="B21" s="50" t="s">
        <v>626</v>
      </c>
      <c r="C21" s="50" t="s">
        <v>599</v>
      </c>
      <c r="D21" s="23" t="s">
        <v>103</v>
      </c>
      <c r="E21" s="58" t="str">
        <f>VLOOKUP(D21,all_countries!D:E,2,0)</f>
        <v>🇨🇭</v>
      </c>
      <c r="F21" s="58" t="str">
        <f>VLOOKUP(D21,Сountries!V:Z,2,0)</f>
        <v>Europe</v>
      </c>
      <c r="G21" s="52">
        <v>884940000000</v>
      </c>
      <c r="H21" s="59">
        <f t="shared" si="0"/>
        <v>884.94</v>
      </c>
      <c r="I21" s="53" t="s">
        <v>1406</v>
      </c>
      <c r="J21" s="54">
        <v>7.1999999999999998E-3</v>
      </c>
      <c r="K21" s="55">
        <v>8870561</v>
      </c>
      <c r="L21" s="52">
        <v>99761</v>
      </c>
      <c r="M21" s="54">
        <v>8.3000000000000001E-3</v>
      </c>
    </row>
    <row r="22" spans="1:13" ht="19" x14ac:dyDescent="0.2">
      <c r="A22" s="50">
        <v>21</v>
      </c>
      <c r="B22" s="50" t="s">
        <v>626</v>
      </c>
      <c r="C22" s="50" t="s">
        <v>538</v>
      </c>
      <c r="D22" s="23" t="s">
        <v>45</v>
      </c>
      <c r="E22" s="58" t="str">
        <f>VLOOKUP(D22,all_countries!D:E,2,0)</f>
        <v>🇵🇱</v>
      </c>
      <c r="F22" s="58" t="str">
        <f>VLOOKUP(D22,Сountries!V:Z,2,0)</f>
        <v>Europe</v>
      </c>
      <c r="G22" s="52">
        <v>809201000000</v>
      </c>
      <c r="H22" s="59">
        <f t="shared" si="0"/>
        <v>809.20100000000002</v>
      </c>
      <c r="I22" s="53" t="s">
        <v>1407</v>
      </c>
      <c r="J22" s="54">
        <v>1.4E-3</v>
      </c>
      <c r="K22" s="55">
        <v>38762844</v>
      </c>
      <c r="L22" s="52">
        <v>20876</v>
      </c>
      <c r="M22" s="54">
        <v>7.6E-3</v>
      </c>
    </row>
    <row r="23" spans="1:13" ht="19" x14ac:dyDescent="0.2">
      <c r="A23" s="50">
        <v>22</v>
      </c>
      <c r="B23" s="50" t="s">
        <v>625</v>
      </c>
      <c r="C23" s="50" t="s">
        <v>531</v>
      </c>
      <c r="D23" s="23" t="s">
        <v>38</v>
      </c>
      <c r="E23" s="58" t="str">
        <f>VLOOKUP(D23,all_countries!D:E,2,0)</f>
        <v>🇦🇷</v>
      </c>
      <c r="F23" s="58" t="str">
        <f>VLOOKUP(D23,Сountries!V:Z,2,0)</f>
        <v>America</v>
      </c>
      <c r="G23" s="52">
        <v>646075000000</v>
      </c>
      <c r="H23" s="59">
        <f t="shared" si="0"/>
        <v>646.07500000000005</v>
      </c>
      <c r="I23" s="53" t="s">
        <v>1408</v>
      </c>
      <c r="J23" s="53" t="s">
        <v>1409</v>
      </c>
      <c r="K23" s="55">
        <v>45538401</v>
      </c>
      <c r="L23" s="52">
        <v>14187</v>
      </c>
      <c r="M23" s="54">
        <v>6.1000000000000004E-3</v>
      </c>
    </row>
    <row r="24" spans="1:13" ht="19" x14ac:dyDescent="0.2">
      <c r="A24" s="50">
        <v>23</v>
      </c>
      <c r="B24" s="50" t="s">
        <v>626</v>
      </c>
      <c r="C24" s="50" t="s">
        <v>581</v>
      </c>
      <c r="D24" s="23" t="s">
        <v>85</v>
      </c>
      <c r="E24" s="58" t="str">
        <f>VLOOKUP(D24,all_countries!D:E,2,0)</f>
        <v>🇧🇪</v>
      </c>
      <c r="F24" s="58" t="str">
        <f>VLOOKUP(D24,Сountries!V:Z,2,0)</f>
        <v>Europe</v>
      </c>
      <c r="G24" s="52">
        <v>644783000000</v>
      </c>
      <c r="H24" s="59">
        <f t="shared" si="0"/>
        <v>644.78300000000002</v>
      </c>
      <c r="I24" s="53" t="s">
        <v>1410</v>
      </c>
      <c r="J24" s="54">
        <v>1.2500000000000001E-2</v>
      </c>
      <c r="K24" s="55">
        <v>11712893</v>
      </c>
      <c r="L24" s="52">
        <v>55049</v>
      </c>
      <c r="M24" s="54">
        <v>6.1000000000000004E-3</v>
      </c>
    </row>
    <row r="25" spans="1:13" ht="19" x14ac:dyDescent="0.2">
      <c r="A25" s="50">
        <v>24</v>
      </c>
      <c r="B25" s="50" t="s">
        <v>626</v>
      </c>
      <c r="C25" s="50" t="s">
        <v>589</v>
      </c>
      <c r="D25" s="23" t="s">
        <v>93</v>
      </c>
      <c r="E25" s="58" t="str">
        <f>VLOOKUP(D25,all_countries!D:E,2,0)</f>
        <v>🇸🇪</v>
      </c>
      <c r="F25" s="58" t="str">
        <f>VLOOKUP(D25,Сountries!V:Z,2,0)</f>
        <v>Europe</v>
      </c>
      <c r="G25" s="52">
        <v>584960000000</v>
      </c>
      <c r="H25" s="59">
        <f t="shared" si="0"/>
        <v>584.96</v>
      </c>
      <c r="I25" s="53" t="s">
        <v>1411</v>
      </c>
      <c r="J25" s="53" t="s">
        <v>1412</v>
      </c>
      <c r="K25" s="55">
        <v>10551494</v>
      </c>
      <c r="L25" s="52">
        <v>55439</v>
      </c>
      <c r="M25" s="54">
        <v>5.4999999999999997E-3</v>
      </c>
    </row>
    <row r="26" spans="1:13" ht="19" x14ac:dyDescent="0.2">
      <c r="A26" s="50">
        <v>25</v>
      </c>
      <c r="B26" s="50" t="s">
        <v>626</v>
      </c>
      <c r="C26" s="50" t="s">
        <v>1249</v>
      </c>
      <c r="D26" s="23" t="s">
        <v>126</v>
      </c>
      <c r="E26" s="58" t="str">
        <f>VLOOKUP(D26,all_countries!D:E,2,0)</f>
        <v>🇮🇪</v>
      </c>
      <c r="F26" s="58" t="str">
        <f>VLOOKUP(D26,Сountries!V:Z,2,0)</f>
        <v>Europe</v>
      </c>
      <c r="G26" s="52">
        <v>551395000000</v>
      </c>
      <c r="H26" s="59">
        <f t="shared" si="0"/>
        <v>551.39499999999998</v>
      </c>
      <c r="I26" s="53" t="s">
        <v>1413</v>
      </c>
      <c r="J26" s="53" t="s">
        <v>1414</v>
      </c>
      <c r="K26" s="55">
        <v>5196630</v>
      </c>
      <c r="L26" s="52">
        <v>106106</v>
      </c>
      <c r="M26" s="54">
        <v>5.1999999999999998E-3</v>
      </c>
    </row>
    <row r="27" spans="1:13" ht="19" x14ac:dyDescent="0.2">
      <c r="A27" s="50">
        <v>26</v>
      </c>
      <c r="B27" s="50" t="s">
        <v>624</v>
      </c>
      <c r="C27" s="50" t="s">
        <v>514</v>
      </c>
      <c r="D27" s="23" t="s">
        <v>23</v>
      </c>
      <c r="E27" s="58" t="str">
        <f>VLOOKUP(D27,all_countries!D:E,2,0)</f>
        <v>🇹🇭</v>
      </c>
      <c r="F27" s="58" t="str">
        <f>VLOOKUP(D27,Сountries!V:Z,2,0)</f>
        <v>Asia</v>
      </c>
      <c r="G27" s="52">
        <v>514969000000</v>
      </c>
      <c r="H27" s="59">
        <f t="shared" si="0"/>
        <v>514.96900000000005</v>
      </c>
      <c r="I27" s="53" t="s">
        <v>1415</v>
      </c>
      <c r="J27" s="54">
        <v>1.89E-2</v>
      </c>
      <c r="K27" s="55">
        <v>71702435</v>
      </c>
      <c r="L27" s="52">
        <v>7182</v>
      </c>
      <c r="M27" s="54">
        <v>4.8999999999999998E-3</v>
      </c>
    </row>
    <row r="28" spans="1:13" ht="19" x14ac:dyDescent="0.2">
      <c r="A28" s="50">
        <v>27</v>
      </c>
      <c r="B28" s="50" t="s">
        <v>624</v>
      </c>
      <c r="C28" s="50" t="s">
        <v>517</v>
      </c>
      <c r="D28" s="23" t="s">
        <v>88</v>
      </c>
      <c r="E28" s="58" t="str">
        <f>VLOOKUP(D28,all_countries!D:E,2,0)</f>
        <v>🇦🇪</v>
      </c>
      <c r="F28" s="58" t="str">
        <f>VLOOKUP(D28,Сountries!V:Z,2,0)</f>
        <v>Asia</v>
      </c>
      <c r="G28" s="52">
        <v>514130000000</v>
      </c>
      <c r="H28" s="59">
        <f t="shared" si="0"/>
        <v>514.13</v>
      </c>
      <c r="I28" s="53" t="s">
        <v>1416</v>
      </c>
      <c r="J28" s="54">
        <v>3.6200000000000003E-2</v>
      </c>
      <c r="K28" s="55">
        <v>10642081</v>
      </c>
      <c r="L28" s="52">
        <v>48311</v>
      </c>
      <c r="M28" s="54">
        <v>4.7999999999999996E-3</v>
      </c>
    </row>
    <row r="29" spans="1:13" ht="19" x14ac:dyDescent="0.2">
      <c r="A29" s="50">
        <v>28</v>
      </c>
      <c r="B29" s="50" t="s">
        <v>624</v>
      </c>
      <c r="C29" s="50" t="s">
        <v>596</v>
      </c>
      <c r="D29" s="23" t="s">
        <v>100</v>
      </c>
      <c r="E29" s="58" t="str">
        <f>VLOOKUP(D29,all_countries!D:E,2,0)</f>
        <v>🇮🇱</v>
      </c>
      <c r="F29" s="58" t="str">
        <f>VLOOKUP(D29,Сountries!V:Z,2,0)</f>
        <v>Asia</v>
      </c>
      <c r="G29" s="52">
        <v>513611000000</v>
      </c>
      <c r="H29" s="59">
        <f t="shared" si="0"/>
        <v>513.61099999999999</v>
      </c>
      <c r="I29" s="53" t="s">
        <v>1417</v>
      </c>
      <c r="J29" s="54">
        <v>2.4199999999999999E-2</v>
      </c>
      <c r="K29" s="55">
        <v>9256314</v>
      </c>
      <c r="L29" s="52">
        <v>55488</v>
      </c>
      <c r="M29" s="54">
        <v>4.7999999999999996E-3</v>
      </c>
    </row>
    <row r="30" spans="1:13" ht="19" x14ac:dyDescent="0.2">
      <c r="A30" s="50">
        <v>29</v>
      </c>
      <c r="B30" s="50" t="s">
        <v>626</v>
      </c>
      <c r="C30" s="50" t="s">
        <v>557</v>
      </c>
      <c r="D30" s="23" t="s">
        <v>101</v>
      </c>
      <c r="E30" s="58" t="str">
        <f>VLOOKUP(D30,all_countries!D:E,2,0)</f>
        <v>🇦🇹</v>
      </c>
      <c r="F30" s="58" t="str">
        <f>VLOOKUP(D30,Сountries!V:Z,2,0)</f>
        <v>Europe</v>
      </c>
      <c r="G30" s="52">
        <v>511685000000</v>
      </c>
      <c r="H30" s="59">
        <f t="shared" si="0"/>
        <v>511.685</v>
      </c>
      <c r="I30" s="53" t="s">
        <v>1418</v>
      </c>
      <c r="J30" s="53" t="s">
        <v>1419</v>
      </c>
      <c r="K30" s="55">
        <v>9130429</v>
      </c>
      <c r="L30" s="52">
        <v>56042</v>
      </c>
      <c r="M30" s="54">
        <v>4.7999999999999996E-3</v>
      </c>
    </row>
    <row r="31" spans="1:13" ht="19" x14ac:dyDescent="0.2">
      <c r="A31" s="50">
        <v>30</v>
      </c>
      <c r="B31" s="50" t="s">
        <v>624</v>
      </c>
      <c r="C31" s="50" t="s">
        <v>1241</v>
      </c>
      <c r="D31" s="23" t="s">
        <v>116</v>
      </c>
      <c r="E31" s="58" t="str">
        <f>VLOOKUP(D31,all_countries!D:E,2,0)</f>
        <v>🇸🇬</v>
      </c>
      <c r="F31" s="58" t="str">
        <f>VLOOKUP(D31,Сountries!V:Z,2,0)</f>
        <v>Asia</v>
      </c>
      <c r="G31" s="52">
        <v>501428000000</v>
      </c>
      <c r="H31" s="59">
        <f t="shared" si="0"/>
        <v>501.428</v>
      </c>
      <c r="I31" s="53" t="s">
        <v>1420</v>
      </c>
      <c r="J31" s="54">
        <v>1.0699999999999999E-2</v>
      </c>
      <c r="K31" s="55">
        <v>5789090</v>
      </c>
      <c r="L31" s="52">
        <v>86616</v>
      </c>
      <c r="M31" s="54">
        <v>4.7000000000000002E-3</v>
      </c>
    </row>
    <row r="32" spans="1:13" ht="19" x14ac:dyDescent="0.2">
      <c r="A32" s="50">
        <v>31</v>
      </c>
      <c r="B32" s="50" t="s">
        <v>626</v>
      </c>
      <c r="C32" s="50" t="s">
        <v>1245</v>
      </c>
      <c r="D32" s="23" t="s">
        <v>120</v>
      </c>
      <c r="E32" s="58" t="str">
        <f>VLOOKUP(D32,all_countries!D:E,2,0)</f>
        <v>🇳🇴</v>
      </c>
      <c r="F32" s="58" t="str">
        <f>VLOOKUP(D32,Сountries!V:Z,2,0)</f>
        <v>Europe</v>
      </c>
      <c r="G32" s="52">
        <v>485311000000</v>
      </c>
      <c r="H32" s="59">
        <f t="shared" si="0"/>
        <v>485.31099999999998</v>
      </c>
      <c r="I32" s="53" t="s">
        <v>1421</v>
      </c>
      <c r="J32" s="54">
        <v>4.7999999999999996E-3</v>
      </c>
      <c r="K32" s="55">
        <v>5519167</v>
      </c>
      <c r="L32" s="52">
        <v>87932</v>
      </c>
      <c r="M32" s="54">
        <v>4.5999999999999999E-3</v>
      </c>
    </row>
    <row r="33" spans="1:13" ht="19" x14ac:dyDescent="0.2">
      <c r="A33" s="50">
        <v>32</v>
      </c>
      <c r="B33" s="50" t="s">
        <v>624</v>
      </c>
      <c r="C33" s="50" t="s">
        <v>502</v>
      </c>
      <c r="D33" s="23" t="s">
        <v>11</v>
      </c>
      <c r="E33" s="58" t="str">
        <f>VLOOKUP(D33,all_countries!D:E,2,0)</f>
        <v>🇧🇩</v>
      </c>
      <c r="F33" s="58" t="str">
        <f>VLOOKUP(D33,Сountries!V:Z,2,0)</f>
        <v>Asia</v>
      </c>
      <c r="G33" s="52">
        <v>437415000000</v>
      </c>
      <c r="H33" s="59">
        <f t="shared" si="0"/>
        <v>437.41500000000002</v>
      </c>
      <c r="I33" s="53" t="s">
        <v>1422</v>
      </c>
      <c r="J33" s="54">
        <v>5.7799999999999997E-2</v>
      </c>
      <c r="K33" s="55">
        <v>171466990</v>
      </c>
      <c r="L33" s="52">
        <v>2551</v>
      </c>
      <c r="M33" s="54">
        <v>4.1000000000000003E-3</v>
      </c>
    </row>
    <row r="34" spans="1:13" ht="19" x14ac:dyDescent="0.2">
      <c r="A34" s="50">
        <v>33</v>
      </c>
      <c r="B34" s="50" t="s">
        <v>624</v>
      </c>
      <c r="C34" s="50" t="s">
        <v>508</v>
      </c>
      <c r="D34" s="23" t="s">
        <v>17</v>
      </c>
      <c r="E34" s="58" t="str">
        <f>VLOOKUP(D34,all_countries!D:E,2,0)</f>
        <v>🇵🇭</v>
      </c>
      <c r="F34" s="58" t="str">
        <f>VLOOKUP(D34,Сountries!V:Z,2,0)</f>
        <v>Asia</v>
      </c>
      <c r="G34" s="52">
        <v>437146000000</v>
      </c>
      <c r="H34" s="59">
        <f t="shared" si="0"/>
        <v>437.14600000000002</v>
      </c>
      <c r="I34" s="53" t="s">
        <v>1423</v>
      </c>
      <c r="J34" s="54">
        <v>5.5500000000000001E-2</v>
      </c>
      <c r="K34" s="55">
        <v>114891199</v>
      </c>
      <c r="L34" s="52">
        <v>3805</v>
      </c>
      <c r="M34" s="54">
        <v>4.1000000000000003E-3</v>
      </c>
    </row>
    <row r="35" spans="1:13" ht="19" x14ac:dyDescent="0.2">
      <c r="A35" s="50">
        <v>34</v>
      </c>
      <c r="B35" s="50" t="s">
        <v>624</v>
      </c>
      <c r="C35" s="50" t="s">
        <v>510</v>
      </c>
      <c r="D35" s="23" t="s">
        <v>19</v>
      </c>
      <c r="E35" s="58" t="str">
        <f>VLOOKUP(D35,all_countries!D:E,2,0)</f>
        <v>🇻🇳</v>
      </c>
      <c r="F35" s="58" t="str">
        <f>VLOOKUP(D35,Сountries!V:Z,2,0)</f>
        <v>Asia</v>
      </c>
      <c r="G35" s="52">
        <v>429717000000</v>
      </c>
      <c r="H35" s="59">
        <f t="shared" si="0"/>
        <v>429.71699999999998</v>
      </c>
      <c r="I35" s="53" t="s">
        <v>1424</v>
      </c>
      <c r="J35" s="54">
        <v>5.0500000000000003E-2</v>
      </c>
      <c r="K35" s="55">
        <v>100352192</v>
      </c>
      <c r="L35" s="52">
        <v>4282</v>
      </c>
      <c r="M35" s="54">
        <v>4.0000000000000001E-3</v>
      </c>
    </row>
    <row r="36" spans="1:13" ht="19" x14ac:dyDescent="0.2">
      <c r="A36" s="50">
        <v>35</v>
      </c>
      <c r="B36" s="50" t="s">
        <v>626</v>
      </c>
      <c r="C36" s="50" t="s">
        <v>1240</v>
      </c>
      <c r="D36" s="23" t="s">
        <v>115</v>
      </c>
      <c r="E36" s="58" t="str">
        <f>VLOOKUP(D36,all_countries!D:E,2,0)</f>
        <v>🇩🇰</v>
      </c>
      <c r="F36" s="58" t="str">
        <f>VLOOKUP(D36,Сountries!V:Z,2,0)</f>
        <v>Europe</v>
      </c>
      <c r="G36" s="52">
        <v>407092000000</v>
      </c>
      <c r="H36" s="59">
        <f t="shared" si="0"/>
        <v>407.09199999999998</v>
      </c>
      <c r="I36" s="53" t="s">
        <v>1425</v>
      </c>
      <c r="J36" s="54">
        <v>2.5000000000000001E-2</v>
      </c>
      <c r="K36" s="55">
        <v>5948136</v>
      </c>
      <c r="L36" s="52">
        <v>68440</v>
      </c>
      <c r="M36" s="54">
        <v>3.8E-3</v>
      </c>
    </row>
    <row r="37" spans="1:13" ht="19" x14ac:dyDescent="0.2">
      <c r="A37" s="50">
        <v>36</v>
      </c>
      <c r="B37" s="50" t="s">
        <v>624</v>
      </c>
      <c r="C37" s="50" t="s">
        <v>511</v>
      </c>
      <c r="D37" s="23" t="s">
        <v>20</v>
      </c>
      <c r="E37" s="58" t="str">
        <f>VLOOKUP(D37,all_countries!D:E,2,0)</f>
        <v>🇮🇷</v>
      </c>
      <c r="F37" s="58" t="str">
        <f>VLOOKUP(D37,Сountries!V:Z,2,0)</f>
        <v>Asia</v>
      </c>
      <c r="G37" s="52">
        <v>404626000000</v>
      </c>
      <c r="H37" s="59">
        <f t="shared" si="0"/>
        <v>404.62599999999998</v>
      </c>
      <c r="I37" s="53" t="s">
        <v>1426</v>
      </c>
      <c r="J37" s="54">
        <v>5.04E-2</v>
      </c>
      <c r="K37" s="55">
        <v>90608707</v>
      </c>
      <c r="L37" s="52">
        <v>4466</v>
      </c>
      <c r="M37" s="54">
        <v>3.8E-3</v>
      </c>
    </row>
    <row r="38" spans="1:13" ht="19" x14ac:dyDescent="0.2">
      <c r="A38" s="50">
        <v>37</v>
      </c>
      <c r="B38" s="50" t="s">
        <v>624</v>
      </c>
      <c r="C38" s="50" t="s">
        <v>540</v>
      </c>
      <c r="D38" s="23" t="s">
        <v>47</v>
      </c>
      <c r="E38" s="58" t="str">
        <f>VLOOKUP(D38,all_countries!D:E,2,0)</f>
        <v>🇲🇾</v>
      </c>
      <c r="F38" s="58" t="str">
        <f>VLOOKUP(D38,Сountries!V:Z,2,0)</f>
        <v>Asia</v>
      </c>
      <c r="G38" s="52">
        <v>399705000000</v>
      </c>
      <c r="H38" s="59">
        <f t="shared" si="0"/>
        <v>399.70499999999998</v>
      </c>
      <c r="I38" s="53" t="s">
        <v>1427</v>
      </c>
      <c r="J38" s="54">
        <v>3.56E-2</v>
      </c>
      <c r="K38" s="55">
        <v>35126298</v>
      </c>
      <c r="L38" s="52">
        <v>11379</v>
      </c>
      <c r="M38" s="54">
        <v>3.8E-3</v>
      </c>
    </row>
    <row r="39" spans="1:13" ht="19" x14ac:dyDescent="0.2">
      <c r="A39" s="50">
        <v>38</v>
      </c>
      <c r="B39" s="50" t="s">
        <v>627</v>
      </c>
      <c r="C39" s="50" t="s">
        <v>507</v>
      </c>
      <c r="D39" s="23" t="s">
        <v>16</v>
      </c>
      <c r="E39" s="58" t="str">
        <f>VLOOKUP(D39,all_countries!D:E,2,0)</f>
        <v>🇪🇬</v>
      </c>
      <c r="F39" s="58" t="str">
        <f>VLOOKUP(D39,Сountries!V:Z,2,0)</f>
        <v>Africa</v>
      </c>
      <c r="G39" s="52">
        <v>396002000000</v>
      </c>
      <c r="H39" s="59">
        <f t="shared" si="0"/>
        <v>396.00200000000001</v>
      </c>
      <c r="I39" s="53" t="s">
        <v>1428</v>
      </c>
      <c r="J39" s="54">
        <v>3.7600000000000001E-2</v>
      </c>
      <c r="K39" s="55">
        <v>114535772</v>
      </c>
      <c r="L39" s="52">
        <v>3457</v>
      </c>
      <c r="M39" s="54">
        <v>3.7000000000000002E-3</v>
      </c>
    </row>
    <row r="40" spans="1:13" ht="19" x14ac:dyDescent="0.2">
      <c r="A40" s="50">
        <v>39</v>
      </c>
      <c r="B40" s="50" t="s">
        <v>624</v>
      </c>
      <c r="C40" s="50" t="s">
        <v>1332</v>
      </c>
      <c r="D40" s="23" t="s">
        <v>306</v>
      </c>
      <c r="E40" s="58" t="str">
        <f>VLOOKUP(D40,all_countries!D:E,2,0)</f>
        <v>🇭🇰</v>
      </c>
      <c r="F40" s="58" t="str">
        <f>VLOOKUP(D40,Сountries!V:Z,2,0)</f>
        <v>Asia</v>
      </c>
      <c r="G40" s="52">
        <v>380812000000</v>
      </c>
      <c r="H40" s="59">
        <f t="shared" si="0"/>
        <v>380.81200000000001</v>
      </c>
      <c r="I40" s="53" t="s">
        <v>1429</v>
      </c>
      <c r="J40" s="54">
        <v>3.2800000000000003E-2</v>
      </c>
      <c r="K40" s="55">
        <v>7442734</v>
      </c>
      <c r="L40" s="52">
        <v>51166</v>
      </c>
      <c r="M40" s="54">
        <v>3.5999999999999999E-3</v>
      </c>
    </row>
    <row r="41" spans="1:13" ht="19" x14ac:dyDescent="0.2">
      <c r="A41" s="50">
        <v>40</v>
      </c>
      <c r="B41" s="50" t="s">
        <v>627</v>
      </c>
      <c r="C41" s="50" t="s">
        <v>520</v>
      </c>
      <c r="D41" s="23" t="s">
        <v>27</v>
      </c>
      <c r="E41" s="58" t="str">
        <f>VLOOKUP(D41,all_countries!D:E,2,0)</f>
        <v>🇿🇦</v>
      </c>
      <c r="F41" s="58" t="str">
        <f>VLOOKUP(D41,Сountries!V:Z,2,0)</f>
        <v>Africa</v>
      </c>
      <c r="G41" s="52">
        <v>380699000000</v>
      </c>
      <c r="H41" s="59">
        <f t="shared" si="0"/>
        <v>380.69900000000001</v>
      </c>
      <c r="I41" s="53" t="s">
        <v>1430</v>
      </c>
      <c r="J41" s="54">
        <v>7.0000000000000001E-3</v>
      </c>
      <c r="K41" s="55">
        <v>63212384</v>
      </c>
      <c r="L41" s="52">
        <v>6023</v>
      </c>
      <c r="M41" s="54">
        <v>3.5999999999999999E-3</v>
      </c>
    </row>
    <row r="42" spans="1:13" ht="19" x14ac:dyDescent="0.2">
      <c r="A42" s="50">
        <v>41</v>
      </c>
      <c r="B42" s="50" t="s">
        <v>627</v>
      </c>
      <c r="C42" s="50" t="s">
        <v>500</v>
      </c>
      <c r="D42" s="23" t="s">
        <v>9</v>
      </c>
      <c r="E42" s="58" t="str">
        <f>VLOOKUP(D42,all_countries!D:E,2,0)</f>
        <v>🇳🇬</v>
      </c>
      <c r="F42" s="58" t="str">
        <f>VLOOKUP(D42,Сountries!V:Z,2,0)</f>
        <v>Africa</v>
      </c>
      <c r="G42" s="52">
        <v>363846000000</v>
      </c>
      <c r="H42" s="59">
        <f t="shared" si="0"/>
        <v>363.846</v>
      </c>
      <c r="I42" s="53" t="s">
        <v>1431</v>
      </c>
      <c r="J42" s="54">
        <v>2.86E-2</v>
      </c>
      <c r="K42" s="55">
        <v>227882945</v>
      </c>
      <c r="L42" s="52">
        <v>1597</v>
      </c>
      <c r="M42" s="54">
        <v>3.3999999999999998E-3</v>
      </c>
    </row>
    <row r="43" spans="1:13" ht="19" x14ac:dyDescent="0.2">
      <c r="A43" s="50">
        <v>42</v>
      </c>
      <c r="B43" s="50" t="s">
        <v>625</v>
      </c>
      <c r="C43" s="50" t="s">
        <v>523</v>
      </c>
      <c r="D43" s="23" t="s">
        <v>31</v>
      </c>
      <c r="E43" s="58" t="str">
        <f>VLOOKUP(D43,all_countries!D:E,2,0)</f>
        <v>🇨🇴</v>
      </c>
      <c r="F43" s="58" t="str">
        <f>VLOOKUP(D43,Сountries!V:Z,2,0)</f>
        <v>America</v>
      </c>
      <c r="G43" s="52">
        <v>363494000000</v>
      </c>
      <c r="H43" s="59">
        <f t="shared" si="0"/>
        <v>363.49400000000003</v>
      </c>
      <c r="I43" s="53" t="s">
        <v>1432</v>
      </c>
      <c r="J43" s="54">
        <v>6.1000000000000004E-3</v>
      </c>
      <c r="K43" s="55">
        <v>52321152</v>
      </c>
      <c r="L43" s="52">
        <v>6947</v>
      </c>
      <c r="M43" s="54">
        <v>3.3999999999999998E-3</v>
      </c>
    </row>
    <row r="44" spans="1:13" ht="19" x14ac:dyDescent="0.2">
      <c r="A44" s="50">
        <v>43</v>
      </c>
      <c r="B44" s="50" t="s">
        <v>626</v>
      </c>
      <c r="C44" s="50" t="s">
        <v>567</v>
      </c>
      <c r="D44" s="23" t="s">
        <v>71</v>
      </c>
      <c r="E44" s="58" t="str">
        <f>VLOOKUP(D44,all_countries!D:E,2,0)</f>
        <v>🇷🇴</v>
      </c>
      <c r="F44" s="58" t="str">
        <f>VLOOKUP(D44,Сountries!V:Z,2,0)</f>
        <v>Europe</v>
      </c>
      <c r="G44" s="52">
        <v>350776000000</v>
      </c>
      <c r="H44" s="59">
        <f t="shared" si="0"/>
        <v>350.77600000000001</v>
      </c>
      <c r="I44" s="53" t="s">
        <v>1433</v>
      </c>
      <c r="J44" s="54">
        <v>2.4E-2</v>
      </c>
      <c r="K44" s="55">
        <v>19118479</v>
      </c>
      <c r="L44" s="52">
        <v>18347</v>
      </c>
      <c r="M44" s="54">
        <v>3.3E-3</v>
      </c>
    </row>
    <row r="45" spans="1:13" ht="19" x14ac:dyDescent="0.2">
      <c r="A45" s="50">
        <v>44</v>
      </c>
      <c r="B45" s="50" t="s">
        <v>626</v>
      </c>
      <c r="C45" s="50" t="s">
        <v>590</v>
      </c>
      <c r="D45" s="23" t="s">
        <v>1320</v>
      </c>
      <c r="E45" s="58" t="str">
        <f>VLOOKUP(D45,all_countries!D:E,2,0)</f>
        <v>🇨🇿</v>
      </c>
      <c r="F45" s="58" t="str">
        <f>VLOOKUP(D45,Сountries!V:Z,2,0)</f>
        <v>Europe</v>
      </c>
      <c r="G45" s="52">
        <v>343208000000</v>
      </c>
      <c r="H45" s="59">
        <f t="shared" si="0"/>
        <v>343.20800000000003</v>
      </c>
      <c r="I45" s="53" t="s">
        <v>1434</v>
      </c>
      <c r="J45" s="53" t="s">
        <v>1435</v>
      </c>
      <c r="K45" s="55">
        <v>10809716</v>
      </c>
      <c r="L45" s="52">
        <v>31750</v>
      </c>
      <c r="M45" s="54">
        <v>3.2000000000000002E-3</v>
      </c>
    </row>
    <row r="46" spans="1:13" ht="19" x14ac:dyDescent="0.2">
      <c r="A46" s="50">
        <v>45</v>
      </c>
      <c r="B46" s="50" t="s">
        <v>624</v>
      </c>
      <c r="C46" s="50" t="s">
        <v>499</v>
      </c>
      <c r="D46" s="23" t="s">
        <v>8</v>
      </c>
      <c r="E46" s="58" t="str">
        <f>VLOOKUP(D46,all_countries!D:E,2,0)</f>
        <v>🇵🇰</v>
      </c>
      <c r="F46" s="58" t="str">
        <f>VLOOKUP(D46,Сountries!V:Z,2,0)</f>
        <v>Asia</v>
      </c>
      <c r="G46" s="52">
        <v>337912000000</v>
      </c>
      <c r="H46" s="59">
        <f t="shared" si="0"/>
        <v>337.91199999999998</v>
      </c>
      <c r="I46" s="53" t="s">
        <v>1436</v>
      </c>
      <c r="J46" s="53" t="s">
        <v>232</v>
      </c>
      <c r="K46" s="55">
        <v>247504495</v>
      </c>
      <c r="L46" s="52">
        <v>1365</v>
      </c>
      <c r="M46" s="54">
        <v>3.2000000000000002E-3</v>
      </c>
    </row>
    <row r="47" spans="1:13" ht="19" x14ac:dyDescent="0.2">
      <c r="A47" s="50">
        <v>46</v>
      </c>
      <c r="B47" s="50" t="s">
        <v>625</v>
      </c>
      <c r="C47" s="50" t="s">
        <v>564</v>
      </c>
      <c r="D47" s="23" t="s">
        <v>68</v>
      </c>
      <c r="E47" s="58" t="str">
        <f>VLOOKUP(D47,all_countries!D:E,2,0)</f>
        <v>🇨🇱</v>
      </c>
      <c r="F47" s="58" t="str">
        <f>VLOOKUP(D47,Сountries!V:Z,2,0)</f>
        <v>America</v>
      </c>
      <c r="G47" s="52">
        <v>335533000000</v>
      </c>
      <c r="H47" s="59">
        <f t="shared" si="0"/>
        <v>335.53300000000002</v>
      </c>
      <c r="I47" s="53" t="s">
        <v>1437</v>
      </c>
      <c r="J47" s="54">
        <v>2.2000000000000001E-3</v>
      </c>
      <c r="K47" s="55">
        <v>19658835</v>
      </c>
      <c r="L47" s="52">
        <v>17068</v>
      </c>
      <c r="M47" s="54">
        <v>3.2000000000000002E-3</v>
      </c>
    </row>
    <row r="48" spans="1:13" ht="19" x14ac:dyDescent="0.2">
      <c r="A48" s="50">
        <v>47</v>
      </c>
      <c r="B48" s="50" t="s">
        <v>626</v>
      </c>
      <c r="C48" s="50" t="s">
        <v>1244</v>
      </c>
      <c r="D48" s="23" t="s">
        <v>119</v>
      </c>
      <c r="E48" s="58" t="str">
        <f>VLOOKUP(D48,all_countries!D:E,2,0)</f>
        <v>🇫🇮</v>
      </c>
      <c r="F48" s="58" t="str">
        <f>VLOOKUP(D48,Сountries!V:Z,2,0)</f>
        <v>Europe</v>
      </c>
      <c r="G48" s="52">
        <v>295532000000</v>
      </c>
      <c r="H48" s="59">
        <f t="shared" si="0"/>
        <v>295.53199999999998</v>
      </c>
      <c r="I48" s="53" t="s">
        <v>1438</v>
      </c>
      <c r="J48" s="53" t="s">
        <v>1439</v>
      </c>
      <c r="K48" s="55">
        <v>5601185</v>
      </c>
      <c r="L48" s="52">
        <v>52762</v>
      </c>
      <c r="M48" s="54">
        <v>2.8E-3</v>
      </c>
    </row>
    <row r="49" spans="1:13" ht="19" x14ac:dyDescent="0.2">
      <c r="A49" s="50">
        <v>48</v>
      </c>
      <c r="B49" s="50" t="s">
        <v>626</v>
      </c>
      <c r="C49" s="50" t="s">
        <v>591</v>
      </c>
      <c r="D49" s="23" t="s">
        <v>95</v>
      </c>
      <c r="E49" s="58" t="str">
        <f>VLOOKUP(D49,all_countries!D:E,2,0)</f>
        <v>🇵🇹</v>
      </c>
      <c r="F49" s="58" t="str">
        <f>VLOOKUP(D49,Сountries!V:Z,2,0)</f>
        <v>Europe</v>
      </c>
      <c r="G49" s="52">
        <v>289114000000</v>
      </c>
      <c r="H49" s="59">
        <f t="shared" si="0"/>
        <v>289.11399999999998</v>
      </c>
      <c r="I49" s="53" t="s">
        <v>1440</v>
      </c>
      <c r="J49" s="54">
        <v>2.53E-2</v>
      </c>
      <c r="K49" s="55">
        <v>10430738</v>
      </c>
      <c r="L49" s="52">
        <v>27718</v>
      </c>
      <c r="M49" s="54">
        <v>2.7000000000000001E-3</v>
      </c>
    </row>
    <row r="50" spans="1:13" ht="19" x14ac:dyDescent="0.2">
      <c r="A50" s="50">
        <v>49</v>
      </c>
      <c r="B50" s="50" t="s">
        <v>625</v>
      </c>
      <c r="C50" s="50" t="s">
        <v>550</v>
      </c>
      <c r="D50" s="23" t="s">
        <v>50</v>
      </c>
      <c r="E50" s="58" t="str">
        <f>VLOOKUP(D50,all_countries!D:E,2,0)</f>
        <v>🇵🇪</v>
      </c>
      <c r="F50" s="58" t="str">
        <f>VLOOKUP(D50,Сountries!V:Z,2,0)</f>
        <v>America</v>
      </c>
      <c r="G50" s="52">
        <v>267603000000</v>
      </c>
      <c r="H50" s="59">
        <f t="shared" si="0"/>
        <v>267.60300000000001</v>
      </c>
      <c r="I50" s="53" t="s">
        <v>1441</v>
      </c>
      <c r="J50" s="53" t="s">
        <v>1442</v>
      </c>
      <c r="K50" s="55">
        <v>33845617</v>
      </c>
      <c r="L50" s="52">
        <v>7907</v>
      </c>
      <c r="M50" s="54">
        <v>2.5000000000000001E-3</v>
      </c>
    </row>
    <row r="51" spans="1:13" ht="19" x14ac:dyDescent="0.2">
      <c r="A51" s="50">
        <v>50</v>
      </c>
      <c r="B51" s="50" t="s">
        <v>624</v>
      </c>
      <c r="C51" s="50" t="s">
        <v>563</v>
      </c>
      <c r="D51" s="23" t="s">
        <v>67</v>
      </c>
      <c r="E51" s="58" t="str">
        <f>VLOOKUP(D51,all_countries!D:E,2,0)</f>
        <v>🇰🇿</v>
      </c>
      <c r="F51" s="58" t="str">
        <f>VLOOKUP(D51,Сountries!V:Z,2,0)</f>
        <v>Asia</v>
      </c>
      <c r="G51" s="52">
        <v>262642000000</v>
      </c>
      <c r="H51" s="59">
        <f t="shared" si="0"/>
        <v>262.642</v>
      </c>
      <c r="I51" s="53" t="s">
        <v>1443</v>
      </c>
      <c r="J51" s="54">
        <v>5.0999999999999997E-2</v>
      </c>
      <c r="K51" s="55">
        <v>20330104</v>
      </c>
      <c r="L51" s="52">
        <v>12919</v>
      </c>
      <c r="M51" s="54">
        <v>2.5000000000000001E-3</v>
      </c>
    </row>
    <row r="52" spans="1:13" ht="19" x14ac:dyDescent="0.2">
      <c r="A52" s="50">
        <v>51</v>
      </c>
      <c r="B52" s="50" t="s">
        <v>620</v>
      </c>
      <c r="C52" s="50" t="s">
        <v>1250</v>
      </c>
      <c r="D52" s="23" t="s">
        <v>127</v>
      </c>
      <c r="E52" s="58" t="str">
        <f>VLOOKUP(D52,all_countries!D:E,2,0)</f>
        <v>🇳🇿</v>
      </c>
      <c r="F52" s="58" t="str">
        <f>VLOOKUP(D52,Сountries!V:Z,2,0)</f>
        <v>Australia and New Zealand</v>
      </c>
      <c r="G52" s="52">
        <v>252176000000</v>
      </c>
      <c r="H52" s="59">
        <f t="shared" si="0"/>
        <v>252.17599999999999</v>
      </c>
      <c r="I52" s="53" t="s">
        <v>1444</v>
      </c>
      <c r="J52" s="54">
        <v>7.3000000000000001E-3</v>
      </c>
      <c r="K52" s="55">
        <v>5172836</v>
      </c>
      <c r="L52" s="52">
        <v>48750</v>
      </c>
      <c r="M52" s="54">
        <v>2.3999999999999998E-3</v>
      </c>
    </row>
    <row r="53" spans="1:13" ht="19" x14ac:dyDescent="0.2">
      <c r="A53" s="50">
        <v>52</v>
      </c>
      <c r="B53" s="50" t="s">
        <v>624</v>
      </c>
      <c r="C53" s="50" t="s">
        <v>530</v>
      </c>
      <c r="D53" s="23" t="s">
        <v>37</v>
      </c>
      <c r="E53" s="58" t="str">
        <f>VLOOKUP(D53,all_countries!D:E,2,0)</f>
        <v>🇮🇶</v>
      </c>
      <c r="F53" s="58" t="str">
        <f>VLOOKUP(D53,Сountries!V:Z,2,0)</f>
        <v>Asia</v>
      </c>
      <c r="G53" s="52">
        <v>250843000000</v>
      </c>
      <c r="H53" s="59">
        <f t="shared" si="0"/>
        <v>250.84299999999999</v>
      </c>
      <c r="I53" s="53" t="s">
        <v>1445</v>
      </c>
      <c r="J53" s="53" t="s">
        <v>1446</v>
      </c>
      <c r="K53" s="55">
        <v>45074049</v>
      </c>
      <c r="L53" s="52">
        <v>5565</v>
      </c>
      <c r="M53" s="54">
        <v>2.3999999999999998E-3</v>
      </c>
    </row>
    <row r="54" spans="1:13" ht="19" x14ac:dyDescent="0.2">
      <c r="A54" s="50">
        <v>53</v>
      </c>
      <c r="B54" s="50" t="s">
        <v>627</v>
      </c>
      <c r="C54" s="50" t="s">
        <v>529</v>
      </c>
      <c r="D54" s="23" t="s">
        <v>36</v>
      </c>
      <c r="E54" s="58" t="str">
        <f>VLOOKUP(D54,all_countries!D:E,2,0)</f>
        <v>🇩🇿</v>
      </c>
      <c r="F54" s="58" t="str">
        <f>VLOOKUP(D54,Сountries!V:Z,2,0)</f>
        <v>Africa</v>
      </c>
      <c r="G54" s="52">
        <v>247626000000</v>
      </c>
      <c r="H54" s="59">
        <f t="shared" si="0"/>
        <v>247.626</v>
      </c>
      <c r="I54" s="53" t="s">
        <v>1447</v>
      </c>
      <c r="J54" s="54">
        <v>4.1000000000000002E-2</v>
      </c>
      <c r="K54" s="55">
        <v>46164219</v>
      </c>
      <c r="L54" s="52">
        <v>5364</v>
      </c>
      <c r="M54" s="54">
        <v>2.3E-3</v>
      </c>
    </row>
    <row r="55" spans="1:13" ht="19" x14ac:dyDescent="0.2">
      <c r="A55" s="50">
        <v>54</v>
      </c>
      <c r="B55" s="50" t="s">
        <v>626</v>
      </c>
      <c r="C55" s="50" t="s">
        <v>593</v>
      </c>
      <c r="D55" s="23" t="s">
        <v>97</v>
      </c>
      <c r="E55" s="58" t="str">
        <f>VLOOKUP(D55,all_countries!D:E,2,0)</f>
        <v>🇬🇷</v>
      </c>
      <c r="F55" s="58" t="str">
        <f>VLOOKUP(D55,Сountries!V:Z,2,0)</f>
        <v>Europe</v>
      </c>
      <c r="G55" s="52">
        <v>243498000000</v>
      </c>
      <c r="H55" s="59">
        <f t="shared" si="0"/>
        <v>243.49799999999999</v>
      </c>
      <c r="I55" s="53" t="s">
        <v>1448</v>
      </c>
      <c r="J55" s="54">
        <v>2.3300000000000001E-2</v>
      </c>
      <c r="K55" s="55">
        <v>10242908</v>
      </c>
      <c r="L55" s="52">
        <v>23772</v>
      </c>
      <c r="M55" s="54">
        <v>2.3E-3</v>
      </c>
    </row>
    <row r="56" spans="1:13" ht="19" x14ac:dyDescent="0.2">
      <c r="A56" s="50">
        <v>55</v>
      </c>
      <c r="B56" s="50" t="s">
        <v>624</v>
      </c>
      <c r="C56" s="50" t="s">
        <v>1259</v>
      </c>
      <c r="D56" s="23" t="s">
        <v>137</v>
      </c>
      <c r="E56" s="58" t="str">
        <f>VLOOKUP(D56,all_countries!D:E,2,0)</f>
        <v>🇶🇦</v>
      </c>
      <c r="F56" s="58" t="str">
        <f>VLOOKUP(D56,Сountries!V:Z,2,0)</f>
        <v>Asia</v>
      </c>
      <c r="G56" s="52">
        <v>213003000000</v>
      </c>
      <c r="H56" s="59">
        <f t="shared" si="0"/>
        <v>213.00299999999999</v>
      </c>
      <c r="I56" s="53" t="s">
        <v>1449</v>
      </c>
      <c r="J56" s="54">
        <v>1.1900000000000001E-2</v>
      </c>
      <c r="K56" s="55">
        <v>2979082</v>
      </c>
      <c r="L56" s="52">
        <v>71500</v>
      </c>
      <c r="M56" s="54">
        <v>2E-3</v>
      </c>
    </row>
    <row r="57" spans="1:13" ht="19" x14ac:dyDescent="0.2">
      <c r="A57" s="50">
        <v>56</v>
      </c>
      <c r="B57" s="50" t="s">
        <v>626</v>
      </c>
      <c r="C57" s="50" t="s">
        <v>595</v>
      </c>
      <c r="D57" s="23" t="s">
        <v>99</v>
      </c>
      <c r="E57" s="58" t="str">
        <f>VLOOKUP(D57,all_countries!D:E,2,0)</f>
        <v>🇭🇺</v>
      </c>
      <c r="F57" s="58" t="str">
        <f>VLOOKUP(D57,Сountries!V:Z,2,0)</f>
        <v>Europe</v>
      </c>
      <c r="G57" s="52">
        <v>212389000000</v>
      </c>
      <c r="H57" s="59">
        <f t="shared" si="0"/>
        <v>212.38900000000001</v>
      </c>
      <c r="I57" s="53" t="s">
        <v>1450</v>
      </c>
      <c r="J57" s="53" t="s">
        <v>1451</v>
      </c>
      <c r="K57" s="55">
        <v>9686463</v>
      </c>
      <c r="L57" s="52">
        <v>21926</v>
      </c>
      <c r="M57" s="54">
        <v>2E-3</v>
      </c>
    </row>
    <row r="58" spans="1:13" ht="19" x14ac:dyDescent="0.2">
      <c r="A58" s="50">
        <v>57</v>
      </c>
      <c r="B58" s="50" t="s">
        <v>626</v>
      </c>
      <c r="C58" s="50" t="s">
        <v>536</v>
      </c>
      <c r="D58" s="23" t="s">
        <v>43</v>
      </c>
      <c r="E58" s="58" t="str">
        <f>VLOOKUP(D58,all_countries!D:E,2,0)</f>
        <v>🇺🇦</v>
      </c>
      <c r="F58" s="58" t="str">
        <f>VLOOKUP(D58,Сountries!V:Z,2,0)</f>
        <v>Europe</v>
      </c>
      <c r="G58" s="52">
        <v>178757000000</v>
      </c>
      <c r="H58" s="59">
        <f t="shared" si="0"/>
        <v>178.75700000000001</v>
      </c>
      <c r="I58" s="53" t="s">
        <v>1452</v>
      </c>
      <c r="J58" s="54">
        <v>5.3199999999999997E-2</v>
      </c>
      <c r="K58" s="55">
        <v>37732836</v>
      </c>
      <c r="L58" s="52">
        <v>4737</v>
      </c>
      <c r="M58" s="54">
        <v>1.6999999999999999E-3</v>
      </c>
    </row>
    <row r="59" spans="1:13" ht="19" x14ac:dyDescent="0.2">
      <c r="A59" s="50">
        <v>58</v>
      </c>
      <c r="B59" s="50" t="s">
        <v>624</v>
      </c>
      <c r="C59" s="50" t="s">
        <v>1252</v>
      </c>
      <c r="D59" s="23" t="s">
        <v>129</v>
      </c>
      <c r="E59" s="58" t="str">
        <f>VLOOKUP(D59,all_countries!D:E,2,0)</f>
        <v>🇰🇼</v>
      </c>
      <c r="F59" s="58" t="str">
        <f>VLOOKUP(D59,Сountries!V:Z,2,0)</f>
        <v>Asia</v>
      </c>
      <c r="G59" s="52">
        <v>163705000000</v>
      </c>
      <c r="H59" s="59">
        <f t="shared" si="0"/>
        <v>163.70500000000001</v>
      </c>
      <c r="I59" s="53" t="s">
        <v>1453</v>
      </c>
      <c r="J59" s="53" t="s">
        <v>1454</v>
      </c>
      <c r="K59" s="55">
        <v>4838782</v>
      </c>
      <c r="L59" s="52">
        <v>33832</v>
      </c>
      <c r="M59" s="54">
        <v>1.5E-3</v>
      </c>
    </row>
    <row r="60" spans="1:13" ht="19" x14ac:dyDescent="0.2">
      <c r="A60" s="50">
        <v>59</v>
      </c>
      <c r="B60" s="50" t="s">
        <v>627</v>
      </c>
      <c r="C60" s="50" t="s">
        <v>504</v>
      </c>
      <c r="D60" s="23" t="s">
        <v>13</v>
      </c>
      <c r="E60" s="58" t="str">
        <f>VLOOKUP(D60,all_countries!D:E,2,0)</f>
        <v>🇪🇹</v>
      </c>
      <c r="F60" s="58" t="str">
        <f>VLOOKUP(D60,Сountries!V:Z,2,0)</f>
        <v>Africa</v>
      </c>
      <c r="G60" s="52">
        <v>163698000000</v>
      </c>
      <c r="H60" s="59">
        <f t="shared" si="0"/>
        <v>163.69800000000001</v>
      </c>
      <c r="I60" s="53" t="s">
        <v>1455</v>
      </c>
      <c r="J60" s="54">
        <v>6.5000000000000002E-2</v>
      </c>
      <c r="K60" s="55">
        <v>128691692</v>
      </c>
      <c r="L60" s="52">
        <v>1272</v>
      </c>
      <c r="M60" s="54">
        <v>1.5E-3</v>
      </c>
    </row>
    <row r="61" spans="1:13" ht="19" x14ac:dyDescent="0.2">
      <c r="A61" s="50">
        <v>60</v>
      </c>
      <c r="B61" s="50" t="s">
        <v>627</v>
      </c>
      <c r="C61" s="50" t="s">
        <v>537</v>
      </c>
      <c r="D61" s="23" t="s">
        <v>44</v>
      </c>
      <c r="E61" s="58" t="str">
        <f>VLOOKUP(D61,all_countries!D:E,2,0)</f>
        <v>🇲🇦</v>
      </c>
      <c r="F61" s="58" t="str">
        <f>VLOOKUP(D61,Сountries!V:Z,2,0)</f>
        <v>Africa</v>
      </c>
      <c r="G61" s="52">
        <v>144417000000</v>
      </c>
      <c r="H61" s="59">
        <f t="shared" si="0"/>
        <v>144.417</v>
      </c>
      <c r="I61" s="53" t="s">
        <v>1456</v>
      </c>
      <c r="J61" s="54">
        <v>3.4000000000000002E-2</v>
      </c>
      <c r="K61" s="55">
        <v>37712505</v>
      </c>
      <c r="L61" s="52">
        <v>3829</v>
      </c>
      <c r="M61" s="54">
        <v>1.4E-3</v>
      </c>
    </row>
    <row r="62" spans="1:13" ht="19" x14ac:dyDescent="0.2">
      <c r="A62" s="50">
        <v>61</v>
      </c>
      <c r="B62" s="50" t="s">
        <v>626</v>
      </c>
      <c r="C62" s="50" t="s">
        <v>1248</v>
      </c>
      <c r="D62" s="23" t="s">
        <v>124</v>
      </c>
      <c r="E62" s="58" t="str">
        <f>VLOOKUP(D62,all_countries!D:E,2,0)</f>
        <v>🇸🇰</v>
      </c>
      <c r="F62" s="58" t="str">
        <f>VLOOKUP(D62,Сountries!V:Z,2,0)</f>
        <v>Europe</v>
      </c>
      <c r="G62" s="52">
        <v>132908000000</v>
      </c>
      <c r="H62" s="59">
        <f t="shared" si="0"/>
        <v>132.90799999999999</v>
      </c>
      <c r="I62" s="53" t="s">
        <v>1457</v>
      </c>
      <c r="J62" s="54">
        <v>1.38E-2</v>
      </c>
      <c r="K62" s="55">
        <v>5518055</v>
      </c>
      <c r="L62" s="52">
        <v>24086</v>
      </c>
      <c r="M62" s="54">
        <v>1.2999999999999999E-3</v>
      </c>
    </row>
    <row r="63" spans="1:13" ht="19" x14ac:dyDescent="0.2">
      <c r="A63" s="50">
        <v>62</v>
      </c>
      <c r="B63" s="50" t="s">
        <v>628</v>
      </c>
      <c r="C63" s="50" t="s">
        <v>583</v>
      </c>
      <c r="D63" s="23" t="s">
        <v>87</v>
      </c>
      <c r="E63" s="58" t="str">
        <f>VLOOKUP(D63,all_countries!D:E,2,0)</f>
        <v>🇩🇴</v>
      </c>
      <c r="F63" s="58" t="str">
        <f>VLOOKUP(D63,Сountries!V:Z,2,0)</f>
        <v>Oceania</v>
      </c>
      <c r="G63" s="52">
        <v>121444000000</v>
      </c>
      <c r="H63" s="59">
        <f t="shared" si="0"/>
        <v>121.444</v>
      </c>
      <c r="I63" s="53" t="s">
        <v>1458</v>
      </c>
      <c r="J63" s="54">
        <v>2.3599999999999999E-2</v>
      </c>
      <c r="K63" s="55">
        <v>11331265</v>
      </c>
      <c r="L63" s="52">
        <v>10718</v>
      </c>
      <c r="M63" s="54">
        <v>1.1000000000000001E-3</v>
      </c>
    </row>
    <row r="64" spans="1:13" ht="19" x14ac:dyDescent="0.2">
      <c r="A64" s="50">
        <v>63</v>
      </c>
      <c r="B64" s="50" t="s">
        <v>625</v>
      </c>
      <c r="C64" s="50" t="s">
        <v>570</v>
      </c>
      <c r="D64" s="23" t="s">
        <v>74</v>
      </c>
      <c r="E64" s="58" t="str">
        <f>VLOOKUP(D64,all_countries!D:E,2,0)</f>
        <v>🇪🇨</v>
      </c>
      <c r="F64" s="58" t="str">
        <f>VLOOKUP(D64,Сountries!V:Z,2,0)</f>
        <v>America</v>
      </c>
      <c r="G64" s="52">
        <v>118845000000</v>
      </c>
      <c r="H64" s="59">
        <f t="shared" si="0"/>
        <v>118.845</v>
      </c>
      <c r="I64" s="53" t="s">
        <v>1459</v>
      </c>
      <c r="J64" s="54">
        <v>2.3599999999999999E-2</v>
      </c>
      <c r="K64" s="55">
        <v>17980083</v>
      </c>
      <c r="L64" s="52">
        <v>6610</v>
      </c>
      <c r="M64" s="54">
        <v>1.1000000000000001E-3</v>
      </c>
    </row>
    <row r="65" spans="1:13" ht="19" x14ac:dyDescent="0.2">
      <c r="A65" s="50">
        <v>64</v>
      </c>
      <c r="B65" s="50" t="s">
        <v>627</v>
      </c>
      <c r="C65" s="50" t="s">
        <v>526</v>
      </c>
      <c r="D65" s="23" t="s">
        <v>33</v>
      </c>
      <c r="E65" s="58" t="str">
        <f>VLOOKUP(D65,all_countries!D:E,2,0)</f>
        <v>🇸🇩</v>
      </c>
      <c r="F65" s="58" t="str">
        <f>VLOOKUP(D65,Сountries!V:Z,2,0)</f>
        <v>Africa</v>
      </c>
      <c r="G65" s="52">
        <v>109266000000</v>
      </c>
      <c r="H65" s="59">
        <f t="shared" si="0"/>
        <v>109.26600000000001</v>
      </c>
      <c r="I65" s="53" t="s">
        <v>1460</v>
      </c>
      <c r="J65" s="53" t="s">
        <v>1461</v>
      </c>
      <c r="K65" s="55">
        <v>50042791</v>
      </c>
      <c r="L65" s="52">
        <v>2183</v>
      </c>
      <c r="M65" s="54">
        <v>1E-3</v>
      </c>
    </row>
    <row r="66" spans="1:13" ht="19" x14ac:dyDescent="0.2">
      <c r="A66" s="50">
        <v>65</v>
      </c>
      <c r="B66" s="50" t="s">
        <v>624</v>
      </c>
      <c r="C66" s="50" t="s">
        <v>1247</v>
      </c>
      <c r="D66" s="23" t="s">
        <v>123</v>
      </c>
      <c r="E66" s="58" t="str">
        <f>VLOOKUP(D66,all_countries!D:E,2,0)</f>
        <v>🇴🇲</v>
      </c>
      <c r="F66" s="58" t="str">
        <f>VLOOKUP(D66,Сountries!V:Z,2,0)</f>
        <v>Asia</v>
      </c>
      <c r="G66" s="52">
        <v>108811000000</v>
      </c>
      <c r="H66" s="59">
        <f t="shared" si="0"/>
        <v>108.81100000000001</v>
      </c>
      <c r="I66" s="53" t="s">
        <v>1462</v>
      </c>
      <c r="J66" s="54">
        <v>1.3100000000000001E-2</v>
      </c>
      <c r="K66" s="55">
        <v>5049269</v>
      </c>
      <c r="L66" s="52">
        <v>21550</v>
      </c>
      <c r="M66" s="54">
        <v>1E-3</v>
      </c>
    </row>
    <row r="67" spans="1:13" ht="19" x14ac:dyDescent="0.2">
      <c r="A67" s="50">
        <v>66</v>
      </c>
      <c r="B67" s="50" t="s">
        <v>627</v>
      </c>
      <c r="C67" s="50" t="s">
        <v>522</v>
      </c>
      <c r="D67" s="23" t="s">
        <v>29</v>
      </c>
      <c r="E67" s="58" t="str">
        <f>VLOOKUP(D67,all_countries!D:E,2,0)</f>
        <v>🇰🇪</v>
      </c>
      <c r="F67" s="58" t="str">
        <f>VLOOKUP(D67,Сountries!V:Z,2,0)</f>
        <v>Africa</v>
      </c>
      <c r="G67" s="52">
        <v>108039000000</v>
      </c>
      <c r="H67" s="59">
        <f t="shared" ref="H67:H130" si="1">G67/1000000000</f>
        <v>108.039</v>
      </c>
      <c r="I67" s="53" t="s">
        <v>1463</v>
      </c>
      <c r="J67" s="54">
        <v>5.5599999999999997E-2</v>
      </c>
      <c r="K67" s="55">
        <v>55339003</v>
      </c>
      <c r="L67" s="52">
        <v>1952</v>
      </c>
      <c r="M67" s="54">
        <v>1E-3</v>
      </c>
    </row>
    <row r="68" spans="1:13" ht="19" x14ac:dyDescent="0.2">
      <c r="A68" s="50">
        <v>67</v>
      </c>
      <c r="B68" s="50" t="s">
        <v>625</v>
      </c>
      <c r="C68" s="50" t="s">
        <v>568</v>
      </c>
      <c r="D68" s="23" t="s">
        <v>72</v>
      </c>
      <c r="E68" s="58" t="str">
        <f>VLOOKUP(D68,all_countries!D:E,2,0)</f>
        <v>🇬🇹</v>
      </c>
      <c r="F68" s="58" t="str">
        <f>VLOOKUP(D68,Сountries!V:Z,2,0)</f>
        <v>America</v>
      </c>
      <c r="G68" s="52">
        <v>104450000000</v>
      </c>
      <c r="H68" s="59">
        <f t="shared" si="1"/>
        <v>104.45</v>
      </c>
      <c r="I68" s="53" t="s">
        <v>1464</v>
      </c>
      <c r="J68" s="54">
        <v>3.5299999999999998E-2</v>
      </c>
      <c r="K68" s="55">
        <v>18124838</v>
      </c>
      <c r="L68" s="52">
        <v>5763</v>
      </c>
      <c r="M68" s="54">
        <v>9.7999999999999997E-4</v>
      </c>
    </row>
    <row r="69" spans="1:13" ht="19" x14ac:dyDescent="0.2">
      <c r="A69" s="50">
        <v>68</v>
      </c>
      <c r="B69" s="50" t="s">
        <v>626</v>
      </c>
      <c r="C69" s="50" t="s">
        <v>1236</v>
      </c>
      <c r="D69" s="23" t="s">
        <v>111</v>
      </c>
      <c r="E69" s="58" t="str">
        <f>VLOOKUP(D69,all_countries!D:E,2,0)</f>
        <v>🇧🇬</v>
      </c>
      <c r="F69" s="58" t="str">
        <f>VLOOKUP(D69,Сountries!V:Z,2,0)</f>
        <v>Europe</v>
      </c>
      <c r="G69" s="52">
        <v>102408000000</v>
      </c>
      <c r="H69" s="59">
        <f t="shared" si="1"/>
        <v>102.408</v>
      </c>
      <c r="I69" s="53" t="s">
        <v>1465</v>
      </c>
      <c r="J69" s="54">
        <v>1.89E-2</v>
      </c>
      <c r="K69" s="55">
        <v>6795803</v>
      </c>
      <c r="L69" s="52">
        <v>15069</v>
      </c>
      <c r="M69" s="54">
        <v>9.6000000000000002E-4</v>
      </c>
    </row>
    <row r="70" spans="1:13" ht="19" x14ac:dyDescent="0.2">
      <c r="A70" s="50">
        <v>69</v>
      </c>
      <c r="B70" s="50" t="s">
        <v>624</v>
      </c>
      <c r="C70" s="50" t="s">
        <v>539</v>
      </c>
      <c r="D70" s="23" t="s">
        <v>46</v>
      </c>
      <c r="E70" s="58" t="str">
        <f>VLOOKUP(D70,all_countries!D:E,2,0)</f>
        <v>🇺🇿</v>
      </c>
      <c r="F70" s="58" t="str">
        <f>VLOOKUP(D70,Сountries!V:Z,2,0)</f>
        <v>Asia</v>
      </c>
      <c r="G70" s="52">
        <v>101592000000</v>
      </c>
      <c r="H70" s="59">
        <f t="shared" si="1"/>
        <v>101.592</v>
      </c>
      <c r="I70" s="53" t="s">
        <v>1466</v>
      </c>
      <c r="J70" s="54">
        <v>6.2899999999999998E-2</v>
      </c>
      <c r="K70" s="55">
        <v>35652307</v>
      </c>
      <c r="L70" s="52">
        <v>2850</v>
      </c>
      <c r="M70" s="54">
        <v>9.6000000000000002E-4</v>
      </c>
    </row>
    <row r="71" spans="1:13" ht="19" x14ac:dyDescent="0.2">
      <c r="A71" s="50">
        <v>70</v>
      </c>
      <c r="B71" s="50" t="s">
        <v>625</v>
      </c>
      <c r="C71" s="50" t="s">
        <v>1251</v>
      </c>
      <c r="D71" s="23" t="s">
        <v>128</v>
      </c>
      <c r="E71" s="58" t="str">
        <f>VLOOKUP(D71,all_countries!D:E,2,0)</f>
        <v>🇨🇷</v>
      </c>
      <c r="F71" s="58" t="str">
        <f>VLOOKUP(D71,Сountries!V:Z,2,0)</f>
        <v>America</v>
      </c>
      <c r="G71" s="52">
        <v>86497941439</v>
      </c>
      <c r="H71" s="59">
        <f t="shared" si="1"/>
        <v>86.497941439000002</v>
      </c>
      <c r="I71" s="53" t="s">
        <v>1467</v>
      </c>
      <c r="J71" s="54">
        <v>5.11E-2</v>
      </c>
      <c r="K71" s="55">
        <v>5105525</v>
      </c>
      <c r="L71" s="52">
        <v>16942</v>
      </c>
      <c r="M71" s="54">
        <v>8.0999999999999996E-4</v>
      </c>
    </row>
    <row r="72" spans="1:13" ht="19" x14ac:dyDescent="0.2">
      <c r="A72" s="50">
        <v>71</v>
      </c>
      <c r="B72" s="50" t="s">
        <v>626</v>
      </c>
      <c r="C72" s="50" t="s">
        <v>1287</v>
      </c>
      <c r="D72" s="23" t="s">
        <v>166</v>
      </c>
      <c r="E72" s="58" t="str">
        <f>VLOOKUP(D72,all_countries!D:E,2,0)</f>
        <v>🇱🇺</v>
      </c>
      <c r="F72" s="58" t="str">
        <f>VLOOKUP(D72,Сountries!V:Z,2,0)</f>
        <v>Europe</v>
      </c>
      <c r="G72" s="52">
        <v>85755006124</v>
      </c>
      <c r="H72" s="59">
        <f t="shared" si="1"/>
        <v>85.755006124000005</v>
      </c>
      <c r="I72" s="53" t="s">
        <v>1468</v>
      </c>
      <c r="J72" s="53" t="s">
        <v>1469</v>
      </c>
      <c r="K72" s="55">
        <v>665098</v>
      </c>
      <c r="L72" s="52">
        <v>128936</v>
      </c>
      <c r="M72" s="54">
        <v>8.0999999999999996E-4</v>
      </c>
    </row>
    <row r="73" spans="1:13" ht="19" x14ac:dyDescent="0.2">
      <c r="A73" s="50">
        <v>72</v>
      </c>
      <c r="B73" s="50" t="s">
        <v>627</v>
      </c>
      <c r="C73" s="50" t="s">
        <v>535</v>
      </c>
      <c r="D73" s="23" t="s">
        <v>42</v>
      </c>
      <c r="E73" s="58" t="str">
        <f>VLOOKUP(D73,all_countries!D:E,2,0)</f>
        <v>🇦🇴</v>
      </c>
      <c r="F73" s="58" t="str">
        <f>VLOOKUP(D73,Сountries!V:Z,2,0)</f>
        <v>Africa</v>
      </c>
      <c r="G73" s="52">
        <v>84824654482</v>
      </c>
      <c r="H73" s="59">
        <f t="shared" si="1"/>
        <v>84.824654482</v>
      </c>
      <c r="I73" s="53" t="s">
        <v>1470</v>
      </c>
      <c r="J73" s="57">
        <v>0.01</v>
      </c>
      <c r="K73" s="55">
        <v>36749906</v>
      </c>
      <c r="L73" s="52">
        <v>2308</v>
      </c>
      <c r="M73" s="54">
        <v>8.0000000000000004E-4</v>
      </c>
    </row>
    <row r="74" spans="1:13" ht="19" x14ac:dyDescent="0.2">
      <c r="A74" s="50">
        <v>73</v>
      </c>
      <c r="B74" s="50" t="s">
        <v>626</v>
      </c>
      <c r="C74" s="50" t="s">
        <v>1254</v>
      </c>
      <c r="D74" s="23" t="s">
        <v>131</v>
      </c>
      <c r="E74" s="58" t="str">
        <f>VLOOKUP(D74,all_countries!D:E,2,0)</f>
        <v>🇭🇷</v>
      </c>
      <c r="F74" s="58" t="str">
        <f>VLOOKUP(D74,Сountries!V:Z,2,0)</f>
        <v>Europe</v>
      </c>
      <c r="G74" s="52">
        <v>84393795502</v>
      </c>
      <c r="H74" s="59">
        <f t="shared" si="1"/>
        <v>84.393795502000003</v>
      </c>
      <c r="I74" s="53" t="s">
        <v>1471</v>
      </c>
      <c r="J74" s="54">
        <v>3.3000000000000002E-2</v>
      </c>
      <c r="K74" s="55">
        <v>3896023</v>
      </c>
      <c r="L74" s="52">
        <v>21662</v>
      </c>
      <c r="M74" s="54">
        <v>7.9000000000000001E-4</v>
      </c>
    </row>
    <row r="75" spans="1:13" ht="19" x14ac:dyDescent="0.2">
      <c r="A75" s="50">
        <v>74</v>
      </c>
      <c r="B75" s="50" t="s">
        <v>624</v>
      </c>
      <c r="C75" s="50" t="s">
        <v>560</v>
      </c>
      <c r="D75" s="23" t="s">
        <v>63</v>
      </c>
      <c r="E75" s="58" t="str">
        <f>VLOOKUP(D75,all_countries!D:E,2,0)</f>
        <v>🇱🇰</v>
      </c>
      <c r="F75" s="58" t="str">
        <f>VLOOKUP(D75,Сountries!V:Z,2,0)</f>
        <v>Asia</v>
      </c>
      <c r="G75" s="52">
        <v>84356863744</v>
      </c>
      <c r="H75" s="59">
        <f t="shared" si="1"/>
        <v>84.356863743999995</v>
      </c>
      <c r="I75" s="53" t="s">
        <v>1472</v>
      </c>
      <c r="J75" s="53" t="s">
        <v>1473</v>
      </c>
      <c r="K75" s="55">
        <v>22971617</v>
      </c>
      <c r="L75" s="52">
        <v>3672</v>
      </c>
      <c r="M75" s="54">
        <v>7.9000000000000001E-4</v>
      </c>
    </row>
    <row r="76" spans="1:13" ht="19" x14ac:dyDescent="0.2">
      <c r="A76" s="50">
        <v>75</v>
      </c>
      <c r="B76" s="50" t="s">
        <v>625</v>
      </c>
      <c r="C76" s="50" t="s">
        <v>1253</v>
      </c>
      <c r="D76" s="23" t="s">
        <v>130</v>
      </c>
      <c r="E76" s="58" t="str">
        <f>VLOOKUP(D76,all_countries!D:E,2,0)</f>
        <v>🇵🇦</v>
      </c>
      <c r="F76" s="58" t="str">
        <f>VLOOKUP(D76,Сountries!V:Z,2,0)</f>
        <v>America</v>
      </c>
      <c r="G76" s="52">
        <v>83318176900</v>
      </c>
      <c r="H76" s="59">
        <f t="shared" si="1"/>
        <v>83.318176899999997</v>
      </c>
      <c r="I76" s="53" t="s">
        <v>1474</v>
      </c>
      <c r="J76" s="54">
        <v>7.3999999999999996E-2</v>
      </c>
      <c r="K76" s="55">
        <v>4458759</v>
      </c>
      <c r="L76" s="52">
        <v>18686</v>
      </c>
      <c r="M76" s="54">
        <v>7.7999999999999999E-4</v>
      </c>
    </row>
    <row r="77" spans="1:13" ht="19" x14ac:dyDescent="0.2">
      <c r="A77" s="50">
        <v>76</v>
      </c>
      <c r="B77" s="50" t="s">
        <v>626</v>
      </c>
      <c r="C77" s="50" t="s">
        <v>1237</v>
      </c>
      <c r="D77" s="23" t="s">
        <v>112</v>
      </c>
      <c r="E77" s="58" t="str">
        <f>VLOOKUP(D77,all_countries!D:E,2,0)</f>
        <v>🇷🇸</v>
      </c>
      <c r="F77" s="58" t="str">
        <f>VLOOKUP(D77,Сountries!V:Z,2,0)</f>
        <v>Europe</v>
      </c>
      <c r="G77" s="52">
        <v>81342660752</v>
      </c>
      <c r="H77" s="59">
        <f t="shared" si="1"/>
        <v>81.342660752</v>
      </c>
      <c r="I77" s="53" t="s">
        <v>1475</v>
      </c>
      <c r="J77" s="54">
        <v>3.85E-2</v>
      </c>
      <c r="K77" s="55">
        <v>6773201</v>
      </c>
      <c r="L77" s="52">
        <v>12009</v>
      </c>
      <c r="M77" s="54">
        <v>7.6999999999999996E-4</v>
      </c>
    </row>
    <row r="78" spans="1:13" ht="19" x14ac:dyDescent="0.2">
      <c r="A78" s="50">
        <v>77</v>
      </c>
      <c r="B78" s="50" t="s">
        <v>626</v>
      </c>
      <c r="C78" s="50" t="s">
        <v>1264</v>
      </c>
      <c r="D78" s="23" t="s">
        <v>142</v>
      </c>
      <c r="E78" s="58" t="str">
        <f>VLOOKUP(D78,all_countries!D:E,2,0)</f>
        <v>🇱🇹</v>
      </c>
      <c r="F78" s="58" t="str">
        <f>VLOOKUP(D78,Сountries!V:Z,2,0)</f>
        <v>Europe</v>
      </c>
      <c r="G78" s="52">
        <v>79789877416</v>
      </c>
      <c r="H78" s="59">
        <f t="shared" si="1"/>
        <v>79.789877415999996</v>
      </c>
      <c r="I78" s="53" t="s">
        <v>1476</v>
      </c>
      <c r="J78" s="54">
        <v>3.3999999999999998E-3</v>
      </c>
      <c r="K78" s="55">
        <v>2854099</v>
      </c>
      <c r="L78" s="52">
        <v>27956</v>
      </c>
      <c r="M78" s="54">
        <v>7.5000000000000002E-4</v>
      </c>
    </row>
    <row r="79" spans="1:13" ht="19" x14ac:dyDescent="0.2">
      <c r="A79" s="50">
        <v>78</v>
      </c>
      <c r="B79" s="50" t="s">
        <v>627</v>
      </c>
      <c r="C79" s="50" t="s">
        <v>515</v>
      </c>
      <c r="D79" s="23" t="s">
        <v>24</v>
      </c>
      <c r="E79" s="58" t="str">
        <f>VLOOKUP(D79,all_countries!D:E,2,0)</f>
        <v>🇹🇿</v>
      </c>
      <c r="F79" s="58" t="str">
        <f>VLOOKUP(D79,Сountries!V:Z,2,0)</f>
        <v>Africa</v>
      </c>
      <c r="G79" s="52">
        <v>79062403821</v>
      </c>
      <c r="H79" s="59">
        <f t="shared" si="1"/>
        <v>79.062403821000004</v>
      </c>
      <c r="I79" s="53" t="s">
        <v>1477</v>
      </c>
      <c r="J79" s="54">
        <v>5.0700000000000002E-2</v>
      </c>
      <c r="K79" s="55">
        <v>66617606</v>
      </c>
      <c r="L79" s="52">
        <v>1187</v>
      </c>
      <c r="M79" s="54">
        <v>7.3999999999999999E-4</v>
      </c>
    </row>
    <row r="80" spans="1:13" ht="19" x14ac:dyDescent="0.2">
      <c r="A80" s="50">
        <v>79</v>
      </c>
      <c r="B80" s="50" t="s">
        <v>627</v>
      </c>
      <c r="C80" s="50" t="s">
        <v>552</v>
      </c>
      <c r="D80" s="23" t="s">
        <v>53</v>
      </c>
      <c r="E80" s="58" t="str">
        <f>VLOOKUP(D80,all_countries!D:E,2,0)</f>
        <v>🇨🇮</v>
      </c>
      <c r="F80" s="58" t="str">
        <f>VLOOKUP(D80,Сountries!V:Z,2,0)</f>
        <v>Africa</v>
      </c>
      <c r="G80" s="52">
        <v>78875489245</v>
      </c>
      <c r="H80" s="59">
        <f t="shared" si="1"/>
        <v>78.875489244999997</v>
      </c>
      <c r="I80" s="53" t="s">
        <v>1478</v>
      </c>
      <c r="J80" s="54">
        <v>6.2E-2</v>
      </c>
      <c r="K80" s="55">
        <v>31165654</v>
      </c>
      <c r="L80" s="52">
        <v>2531</v>
      </c>
      <c r="M80" s="54">
        <v>7.3999999999999999E-4</v>
      </c>
    </row>
    <row r="81" spans="1:13" ht="19" x14ac:dyDescent="0.2">
      <c r="A81" s="50">
        <v>80</v>
      </c>
      <c r="B81" s="50" t="s">
        <v>625</v>
      </c>
      <c r="C81" s="50" t="s">
        <v>518</v>
      </c>
      <c r="D81" s="23" t="s">
        <v>135</v>
      </c>
      <c r="E81" s="58" t="str">
        <f>VLOOKUP(D81,all_countries!D:E,2,0)</f>
        <v>🇺🇾</v>
      </c>
      <c r="F81" s="58" t="str">
        <f>VLOOKUP(D81,Сountries!V:Z,2,0)</f>
        <v>America</v>
      </c>
      <c r="G81" s="52">
        <v>77240830877</v>
      </c>
      <c r="H81" s="59">
        <f t="shared" si="1"/>
        <v>77.240830876999993</v>
      </c>
      <c r="I81" s="53" t="s">
        <v>1479</v>
      </c>
      <c r="J81" s="54">
        <v>3.7000000000000002E-3</v>
      </c>
      <c r="K81" s="55">
        <v>3388081</v>
      </c>
      <c r="L81" s="52">
        <v>22798</v>
      </c>
      <c r="M81" s="54">
        <v>7.2999999999999996E-4</v>
      </c>
    </row>
    <row r="82" spans="1:13" ht="19" x14ac:dyDescent="0.2">
      <c r="A82" s="50">
        <v>81</v>
      </c>
      <c r="B82" s="50" t="s">
        <v>627</v>
      </c>
      <c r="C82" s="50" t="s">
        <v>549</v>
      </c>
      <c r="D82" s="23" t="s">
        <v>49</v>
      </c>
      <c r="E82" s="58" t="str">
        <f>VLOOKUP(D82,all_countries!D:E,2,0)</f>
        <v>🇬🇭</v>
      </c>
      <c r="F82" s="58" t="str">
        <f>VLOOKUP(D82,Сountries!V:Z,2,0)</f>
        <v>Africa</v>
      </c>
      <c r="G82" s="52">
        <v>76370396722</v>
      </c>
      <c r="H82" s="59">
        <f t="shared" si="1"/>
        <v>76.370396721999995</v>
      </c>
      <c r="I82" s="53" t="s">
        <v>1480</v>
      </c>
      <c r="J82" s="54">
        <v>2.9399999999999999E-2</v>
      </c>
      <c r="K82" s="55">
        <v>33787914</v>
      </c>
      <c r="L82" s="52">
        <v>2260</v>
      </c>
      <c r="M82" s="54">
        <v>7.2000000000000005E-4</v>
      </c>
    </row>
    <row r="83" spans="1:13" ht="19" x14ac:dyDescent="0.2">
      <c r="A83" s="50">
        <v>82</v>
      </c>
      <c r="B83" s="50" t="s">
        <v>624</v>
      </c>
      <c r="C83" s="50" t="s">
        <v>592</v>
      </c>
      <c r="D83" s="23" t="s">
        <v>96</v>
      </c>
      <c r="E83" s="58" t="str">
        <f>VLOOKUP(D83,all_countries!D:E,2,0)</f>
        <v>🇦🇿</v>
      </c>
      <c r="F83" s="58" t="str">
        <f>VLOOKUP(D83,Сountries!V:Z,2,0)</f>
        <v>Asia</v>
      </c>
      <c r="G83" s="52">
        <v>72356176471</v>
      </c>
      <c r="H83" s="59">
        <f t="shared" si="1"/>
        <v>72.356176470999998</v>
      </c>
      <c r="I83" s="53" t="s">
        <v>1481</v>
      </c>
      <c r="J83" s="54">
        <v>1.12E-2</v>
      </c>
      <c r="K83" s="55">
        <v>10318207</v>
      </c>
      <c r="L83" s="52">
        <v>7012</v>
      </c>
      <c r="M83" s="54">
        <v>6.8000000000000005E-4</v>
      </c>
    </row>
    <row r="84" spans="1:13" ht="19" x14ac:dyDescent="0.2">
      <c r="A84" s="50">
        <v>83</v>
      </c>
      <c r="B84" s="50" t="s">
        <v>626</v>
      </c>
      <c r="C84" s="50" t="s">
        <v>598</v>
      </c>
      <c r="D84" s="23" t="s">
        <v>102</v>
      </c>
      <c r="E84" s="58" t="str">
        <f>VLOOKUP(D84,all_countries!D:E,2,0)</f>
        <v>🇧🇾</v>
      </c>
      <c r="F84" s="58" t="str">
        <f>VLOOKUP(D84,Сountries!V:Z,2,0)</f>
        <v>Europe</v>
      </c>
      <c r="G84" s="52">
        <v>71857382746</v>
      </c>
      <c r="H84" s="59">
        <f t="shared" si="1"/>
        <v>71.857382745999999</v>
      </c>
      <c r="I84" s="53" t="s">
        <v>1482</v>
      </c>
      <c r="J84" s="54">
        <v>3.8899999999999997E-2</v>
      </c>
      <c r="K84" s="55">
        <v>9115680</v>
      </c>
      <c r="L84" s="52">
        <v>7883</v>
      </c>
      <c r="M84" s="54">
        <v>6.8000000000000005E-4</v>
      </c>
    </row>
    <row r="85" spans="1:13" ht="19" x14ac:dyDescent="0.2">
      <c r="A85" s="50">
        <v>84</v>
      </c>
      <c r="B85" s="50" t="s">
        <v>626</v>
      </c>
      <c r="C85" s="50" t="s">
        <v>1271</v>
      </c>
      <c r="D85" s="23" t="s">
        <v>149</v>
      </c>
      <c r="E85" s="58" t="str">
        <f>VLOOKUP(D85,all_countries!D:E,2,0)</f>
        <v>🇸🇮</v>
      </c>
      <c r="F85" s="58" t="str">
        <f>VLOOKUP(D85,Сountries!V:Z,2,0)</f>
        <v>Europe</v>
      </c>
      <c r="G85" s="52">
        <v>69148468417</v>
      </c>
      <c r="H85" s="59">
        <f t="shared" si="1"/>
        <v>69.148468417000004</v>
      </c>
      <c r="I85" s="53" t="s">
        <v>1483</v>
      </c>
      <c r="J85" s="54">
        <v>2.1100000000000001E-2</v>
      </c>
      <c r="K85" s="55">
        <v>2118396</v>
      </c>
      <c r="L85" s="52">
        <v>32642</v>
      </c>
      <c r="M85" s="54">
        <v>6.4999999999999997E-4</v>
      </c>
    </row>
    <row r="86" spans="1:13" ht="19" x14ac:dyDescent="0.2">
      <c r="A86" s="50">
        <v>85</v>
      </c>
      <c r="B86" s="50" t="s">
        <v>624</v>
      </c>
      <c r="C86" s="50" t="s">
        <v>505</v>
      </c>
      <c r="D86" s="23" t="s">
        <v>30</v>
      </c>
      <c r="E86" s="58" t="str">
        <f>VLOOKUP(D86,all_countries!D:E,2,0)</f>
        <v>🇲🇽</v>
      </c>
      <c r="F86" s="58" t="str">
        <f>VLOOKUP(D86,Сountries!V:Z,2,0)</f>
        <v>Asia</v>
      </c>
      <c r="G86" s="52">
        <v>66757619000</v>
      </c>
      <c r="H86" s="59">
        <f t="shared" si="1"/>
        <v>66.757619000000005</v>
      </c>
      <c r="I86" s="53" t="s">
        <v>1484</v>
      </c>
      <c r="J86" s="54">
        <v>9.5999999999999992E-3</v>
      </c>
      <c r="K86" s="55">
        <v>54133798</v>
      </c>
      <c r="L86" s="52">
        <v>1233</v>
      </c>
      <c r="M86" s="54">
        <v>6.3000000000000003E-4</v>
      </c>
    </row>
    <row r="87" spans="1:13" ht="19" x14ac:dyDescent="0.2">
      <c r="A87" s="50">
        <v>86</v>
      </c>
      <c r="B87" s="50" t="s">
        <v>627</v>
      </c>
      <c r="C87" s="50" t="s">
        <v>509</v>
      </c>
      <c r="D87" s="23" t="s">
        <v>18</v>
      </c>
      <c r="E87" s="58" t="str">
        <f>VLOOKUP(D87,all_countries!D:E,2,0)</f>
        <v>🇨🇩</v>
      </c>
      <c r="F87" s="58" t="str">
        <f>VLOOKUP(D87,Сountries!V:Z,2,0)</f>
        <v>Africa</v>
      </c>
      <c r="G87" s="52">
        <v>66383287003</v>
      </c>
      <c r="H87" s="59">
        <f t="shared" si="1"/>
        <v>66.383287003000007</v>
      </c>
      <c r="I87" s="53" t="s">
        <v>1485</v>
      </c>
      <c r="J87" s="54">
        <v>8.5599999999999996E-2</v>
      </c>
      <c r="K87" s="55">
        <v>105789731</v>
      </c>
      <c r="L87" s="52">
        <v>628</v>
      </c>
      <c r="M87" s="54">
        <v>6.3000000000000003E-4</v>
      </c>
    </row>
    <row r="88" spans="1:13" ht="19" x14ac:dyDescent="0.2">
      <c r="A88" s="50">
        <v>87</v>
      </c>
      <c r="B88" s="50" t="s">
        <v>624</v>
      </c>
      <c r="C88" s="50" t="s">
        <v>1231</v>
      </c>
      <c r="D88" s="23" t="s">
        <v>106</v>
      </c>
      <c r="E88" s="58" t="str">
        <f>VLOOKUP(D88,all_countries!D:E,2,0)</f>
        <v>🇹🇲</v>
      </c>
      <c r="F88" s="58" t="str">
        <f>VLOOKUP(D88,Сountries!V:Z,2,0)</f>
        <v>Asia</v>
      </c>
      <c r="G88" s="52">
        <v>60628857143</v>
      </c>
      <c r="H88" s="59">
        <f t="shared" si="1"/>
        <v>60.628857142999998</v>
      </c>
      <c r="I88" s="53" t="s">
        <v>1486</v>
      </c>
      <c r="J88" s="54">
        <v>6.3E-2</v>
      </c>
      <c r="K88" s="55">
        <v>7364438</v>
      </c>
      <c r="L88" s="52">
        <v>8233</v>
      </c>
      <c r="M88" s="54">
        <v>5.6999999999999998E-4</v>
      </c>
    </row>
    <row r="89" spans="1:13" ht="19" x14ac:dyDescent="0.2">
      <c r="A89" s="50">
        <v>88</v>
      </c>
      <c r="B89" s="50" t="s">
        <v>624</v>
      </c>
      <c r="C89" s="50" t="s">
        <v>582</v>
      </c>
      <c r="D89" s="23" t="s">
        <v>86</v>
      </c>
      <c r="E89" s="58" t="str">
        <f>VLOOKUP(D89,all_countries!D:E,2,0)</f>
        <v>🇯🇴</v>
      </c>
      <c r="F89" s="58" t="str">
        <f>VLOOKUP(D89,Сountries!V:Z,2,0)</f>
        <v>Asia</v>
      </c>
      <c r="G89" s="52">
        <v>50967475352</v>
      </c>
      <c r="H89" s="59">
        <f t="shared" si="1"/>
        <v>50.967475352000001</v>
      </c>
      <c r="I89" s="53" t="s">
        <v>1487</v>
      </c>
      <c r="J89" s="54">
        <v>2.6800000000000001E-2</v>
      </c>
      <c r="K89" s="55">
        <v>11439213</v>
      </c>
      <c r="L89" s="52">
        <v>4456</v>
      </c>
      <c r="M89" s="54">
        <v>4.8000000000000001E-4</v>
      </c>
    </row>
    <row r="90" spans="1:13" ht="19" x14ac:dyDescent="0.2">
      <c r="A90" s="50">
        <v>89</v>
      </c>
      <c r="B90" s="50" t="s">
        <v>627</v>
      </c>
      <c r="C90" s="50" t="s">
        <v>553</v>
      </c>
      <c r="D90" s="23" t="s">
        <v>54</v>
      </c>
      <c r="E90" s="58" t="str">
        <f>VLOOKUP(D90,all_countries!D:E,2,0)</f>
        <v>🇨🇲</v>
      </c>
      <c r="F90" s="58" t="str">
        <f>VLOOKUP(D90,Сountries!V:Z,2,0)</f>
        <v>Africa</v>
      </c>
      <c r="G90" s="52">
        <v>49279410983</v>
      </c>
      <c r="H90" s="59">
        <f t="shared" si="1"/>
        <v>49.279410982999998</v>
      </c>
      <c r="I90" s="53" t="s">
        <v>1488</v>
      </c>
      <c r="J90" s="54">
        <v>3.2500000000000001E-2</v>
      </c>
      <c r="K90" s="55">
        <v>28372687</v>
      </c>
      <c r="L90" s="52">
        <v>1737</v>
      </c>
      <c r="M90" s="54">
        <v>4.6000000000000001E-4</v>
      </c>
    </row>
    <row r="91" spans="1:13" ht="19" x14ac:dyDescent="0.2">
      <c r="A91" s="50">
        <v>90</v>
      </c>
      <c r="B91" s="50" t="s">
        <v>627</v>
      </c>
      <c r="C91" s="50" t="s">
        <v>527</v>
      </c>
      <c r="D91" s="23" t="s">
        <v>34</v>
      </c>
      <c r="E91" s="58" t="str">
        <f>VLOOKUP(D91,all_countries!D:E,2,0)</f>
        <v>🇺🇬</v>
      </c>
      <c r="F91" s="58" t="str">
        <f>VLOOKUP(D91,Сountries!V:Z,2,0)</f>
        <v>Africa</v>
      </c>
      <c r="G91" s="52">
        <v>48768955863</v>
      </c>
      <c r="H91" s="59">
        <f t="shared" si="1"/>
        <v>48.768955863000002</v>
      </c>
      <c r="I91" s="53" t="s">
        <v>1489</v>
      </c>
      <c r="J91" s="54">
        <v>5.3400000000000003E-2</v>
      </c>
      <c r="K91" s="55">
        <v>48656601</v>
      </c>
      <c r="L91" s="52">
        <v>1002</v>
      </c>
      <c r="M91" s="54">
        <v>4.6000000000000001E-4</v>
      </c>
    </row>
    <row r="92" spans="1:13" ht="19" x14ac:dyDescent="0.2">
      <c r="A92" s="50">
        <v>91</v>
      </c>
      <c r="B92" s="50" t="s">
        <v>627</v>
      </c>
      <c r="C92" s="50" t="s">
        <v>578</v>
      </c>
      <c r="D92" s="23" t="s">
        <v>82</v>
      </c>
      <c r="E92" s="58" t="str">
        <f>VLOOKUP(D92,all_countries!D:E,2,0)</f>
        <v>🇹🇳</v>
      </c>
      <c r="F92" s="58" t="str">
        <f>VLOOKUP(D92,Сountries!V:Z,2,0)</f>
        <v>Africa</v>
      </c>
      <c r="G92" s="52">
        <v>48529595417</v>
      </c>
      <c r="H92" s="59">
        <f t="shared" si="1"/>
        <v>48.529595417000003</v>
      </c>
      <c r="I92" s="53" t="s">
        <v>1490</v>
      </c>
      <c r="J92" s="54">
        <v>4.0000000000000002E-4</v>
      </c>
      <c r="K92" s="55">
        <v>12200431</v>
      </c>
      <c r="L92" s="52">
        <v>3978</v>
      </c>
      <c r="M92" s="54">
        <v>4.6000000000000001E-4</v>
      </c>
    </row>
    <row r="93" spans="1:13" ht="19" x14ac:dyDescent="0.2">
      <c r="A93" s="50">
        <v>92</v>
      </c>
      <c r="B93" s="50" t="s">
        <v>624</v>
      </c>
      <c r="C93" s="50" t="s">
        <v>1275</v>
      </c>
      <c r="D93" s="23" t="s">
        <v>153</v>
      </c>
      <c r="E93" s="58" t="str">
        <f>VLOOKUP(D93,all_countries!D:E,2,0)</f>
        <v>🇧🇭</v>
      </c>
      <c r="F93" s="58" t="str">
        <f>VLOOKUP(D93,Сountries!V:Z,2,0)</f>
        <v>Asia</v>
      </c>
      <c r="G93" s="52">
        <v>46079867021</v>
      </c>
      <c r="H93" s="59">
        <f t="shared" si="1"/>
        <v>46.079867020999998</v>
      </c>
      <c r="I93" s="53" t="s">
        <v>1491</v>
      </c>
      <c r="J93" s="54">
        <v>2.98E-2</v>
      </c>
      <c r="K93" s="55">
        <v>1569666</v>
      </c>
      <c r="L93" s="52">
        <v>29356</v>
      </c>
      <c r="M93" s="54">
        <v>4.2999999999999999E-4</v>
      </c>
    </row>
    <row r="94" spans="1:13" ht="19" x14ac:dyDescent="0.2">
      <c r="A94" s="50">
        <v>93</v>
      </c>
      <c r="B94" s="50" t="s">
        <v>624</v>
      </c>
      <c r="C94" s="50" t="s">
        <v>1339</v>
      </c>
      <c r="D94" s="23" t="s">
        <v>379</v>
      </c>
      <c r="E94" s="58" t="str">
        <f>VLOOKUP(D94,all_countries!D:E,2,0)</f>
        <v>🇲🇴</v>
      </c>
      <c r="F94" s="58" t="str">
        <f>VLOOKUP(D94,Сountries!V:Z,2,0)</f>
        <v>Asia</v>
      </c>
      <c r="G94" s="52">
        <v>45803067940</v>
      </c>
      <c r="H94" s="59">
        <f t="shared" si="1"/>
        <v>45.803067939999998</v>
      </c>
      <c r="I94" s="53" t="s">
        <v>1492</v>
      </c>
      <c r="J94" s="54">
        <v>0.75060000000000004</v>
      </c>
      <c r="K94" s="55">
        <v>713912</v>
      </c>
      <c r="L94" s="52">
        <v>64158</v>
      </c>
      <c r="M94" s="54">
        <v>4.2999999999999999E-4</v>
      </c>
    </row>
    <row r="95" spans="1:13" ht="19" x14ac:dyDescent="0.2">
      <c r="A95" s="50">
        <v>94</v>
      </c>
      <c r="B95" s="50" t="s">
        <v>625</v>
      </c>
      <c r="C95" s="50" t="s">
        <v>577</v>
      </c>
      <c r="D95" s="23" t="s">
        <v>81</v>
      </c>
      <c r="E95" s="58" t="str">
        <f>VLOOKUP(D95,all_countries!D:E,2,0)</f>
        <v>🇧🇴</v>
      </c>
      <c r="F95" s="58" t="str">
        <f>VLOOKUP(D95,Сountries!V:Z,2,0)</f>
        <v>America</v>
      </c>
      <c r="G95" s="52">
        <v>45135398009</v>
      </c>
      <c r="H95" s="59">
        <f t="shared" si="1"/>
        <v>45.135398008999999</v>
      </c>
      <c r="I95" s="53" t="s">
        <v>1493</v>
      </c>
      <c r="J95" s="54">
        <v>3.0800000000000001E-2</v>
      </c>
      <c r="K95" s="55">
        <v>12244159</v>
      </c>
      <c r="L95" s="52">
        <v>3686</v>
      </c>
      <c r="M95" s="54">
        <v>4.2999999999999999E-4</v>
      </c>
    </row>
    <row r="96" spans="1:13" ht="19" x14ac:dyDescent="0.2">
      <c r="A96" s="50">
        <v>95</v>
      </c>
      <c r="B96" s="50" t="s">
        <v>627</v>
      </c>
      <c r="C96" s="50" t="s">
        <v>1232</v>
      </c>
      <c r="D96" s="23" t="s">
        <v>107</v>
      </c>
      <c r="E96" s="58" t="str">
        <f>VLOOKUP(D96,all_countries!D:E,2,0)</f>
        <v>🇱🇾</v>
      </c>
      <c r="F96" s="58" t="str">
        <f>VLOOKUP(D96,Сountries!V:Z,2,0)</f>
        <v>Africa</v>
      </c>
      <c r="G96" s="52">
        <v>45096462972</v>
      </c>
      <c r="H96" s="59">
        <f t="shared" si="1"/>
        <v>45.096462971999998</v>
      </c>
      <c r="I96" s="53" t="s">
        <v>1494</v>
      </c>
      <c r="J96" s="54">
        <v>0.1016</v>
      </c>
      <c r="K96" s="55">
        <v>7305659</v>
      </c>
      <c r="L96" s="52">
        <v>6173</v>
      </c>
      <c r="M96" s="54">
        <v>4.2000000000000002E-4</v>
      </c>
    </row>
    <row r="97" spans="1:13" ht="19" x14ac:dyDescent="0.2">
      <c r="A97" s="50">
        <v>96</v>
      </c>
      <c r="B97" s="50" t="s">
        <v>625</v>
      </c>
      <c r="C97" s="50" t="s">
        <v>1234</v>
      </c>
      <c r="D97" s="23" t="s">
        <v>109</v>
      </c>
      <c r="E97" s="58" t="str">
        <f>VLOOKUP(D97,all_countries!D:E,2,0)</f>
        <v>🇵🇾</v>
      </c>
      <c r="F97" s="58" t="str">
        <f>VLOOKUP(D97,Сountries!V:Z,2,0)</f>
        <v>America</v>
      </c>
      <c r="G97" s="52">
        <v>42956263544</v>
      </c>
      <c r="H97" s="59">
        <f t="shared" si="1"/>
        <v>42.956263544000002</v>
      </c>
      <c r="I97" s="53" t="s">
        <v>1495</v>
      </c>
      <c r="J97" s="54">
        <v>4.7100000000000003E-2</v>
      </c>
      <c r="K97" s="55">
        <v>6844146</v>
      </c>
      <c r="L97" s="52">
        <v>6276</v>
      </c>
      <c r="M97" s="54">
        <v>4.0000000000000002E-4</v>
      </c>
    </row>
    <row r="98" spans="1:13" ht="19" x14ac:dyDescent="0.2">
      <c r="A98" s="50">
        <v>97</v>
      </c>
      <c r="B98" s="50" t="s">
        <v>624</v>
      </c>
      <c r="C98" s="50" t="s">
        <v>571</v>
      </c>
      <c r="D98" s="23" t="s">
        <v>75</v>
      </c>
      <c r="E98" s="58" t="str">
        <f>VLOOKUP(D98,all_countries!D:E,2,0)</f>
        <v>🇰🇭</v>
      </c>
      <c r="F98" s="58" t="str">
        <f>VLOOKUP(D98,Сountries!V:Z,2,0)</f>
        <v>Asia</v>
      </c>
      <c r="G98" s="52">
        <v>42335646896</v>
      </c>
      <c r="H98" s="59">
        <f t="shared" si="1"/>
        <v>42.335646896</v>
      </c>
      <c r="I98" s="53" t="s">
        <v>1496</v>
      </c>
      <c r="J98" s="54">
        <v>4.9599999999999998E-2</v>
      </c>
      <c r="K98" s="55">
        <v>17423880</v>
      </c>
      <c r="L98" s="52">
        <v>2430</v>
      </c>
      <c r="M98" s="54">
        <v>4.0000000000000002E-4</v>
      </c>
    </row>
    <row r="99" spans="1:13" ht="19" x14ac:dyDescent="0.2">
      <c r="A99" s="50">
        <v>98</v>
      </c>
      <c r="B99" s="50" t="s">
        <v>626</v>
      </c>
      <c r="C99" s="50" t="s">
        <v>1273</v>
      </c>
      <c r="D99" s="23" t="s">
        <v>151</v>
      </c>
      <c r="E99" s="58" t="str">
        <f>VLOOKUP(D99,all_countries!D:E,2,0)</f>
        <v>🇱🇻</v>
      </c>
      <c r="F99" s="58" t="str">
        <f>VLOOKUP(D99,Сountries!V:Z,2,0)</f>
        <v>Europe</v>
      </c>
      <c r="G99" s="52">
        <v>42247850065</v>
      </c>
      <c r="H99" s="59">
        <f t="shared" si="1"/>
        <v>42.247850065000002</v>
      </c>
      <c r="I99" s="53" t="s">
        <v>1497</v>
      </c>
      <c r="J99" s="54">
        <v>1.7100000000000001E-2</v>
      </c>
      <c r="K99" s="55">
        <v>1882396</v>
      </c>
      <c r="L99" s="52">
        <v>22444</v>
      </c>
      <c r="M99" s="54">
        <v>4.0000000000000002E-4</v>
      </c>
    </row>
    <row r="100" spans="1:13" ht="19" x14ac:dyDescent="0.2">
      <c r="A100" s="50">
        <v>99</v>
      </c>
      <c r="B100" s="50" t="s">
        <v>626</v>
      </c>
      <c r="C100" s="50" t="s">
        <v>1279</v>
      </c>
      <c r="D100" s="23" t="s">
        <v>157</v>
      </c>
      <c r="E100" s="58" t="str">
        <f>VLOOKUP(D100,all_countries!D:E,2,0)</f>
        <v>🇪🇪</v>
      </c>
      <c r="F100" s="58" t="str">
        <f>VLOOKUP(D100,Сountries!V:Z,2,0)</f>
        <v>Europe</v>
      </c>
      <c r="G100" s="52">
        <v>41291245222</v>
      </c>
      <c r="H100" s="59">
        <f t="shared" si="1"/>
        <v>41.291245222000001</v>
      </c>
      <c r="I100" s="53" t="s">
        <v>1498</v>
      </c>
      <c r="J100" s="53" t="s">
        <v>1499</v>
      </c>
      <c r="K100" s="55">
        <v>1367196</v>
      </c>
      <c r="L100" s="52">
        <v>30201</v>
      </c>
      <c r="M100" s="54">
        <v>3.8999999999999999E-4</v>
      </c>
    </row>
    <row r="101" spans="1:13" ht="19" x14ac:dyDescent="0.2">
      <c r="A101" s="50">
        <v>100</v>
      </c>
      <c r="B101" s="50" t="s">
        <v>624</v>
      </c>
      <c r="C101" s="50" t="s">
        <v>554</v>
      </c>
      <c r="D101" s="23" t="s">
        <v>55</v>
      </c>
      <c r="E101" s="58" t="str">
        <f>VLOOKUP(D101,all_countries!D:E,2,0)</f>
        <v>🇳🇵</v>
      </c>
      <c r="F101" s="58" t="str">
        <f>VLOOKUP(D101,Сountries!V:Z,2,0)</f>
        <v>Asia</v>
      </c>
      <c r="G101" s="52">
        <v>40908073367</v>
      </c>
      <c r="H101" s="59">
        <f t="shared" si="1"/>
        <v>40.908073367</v>
      </c>
      <c r="I101" s="53" t="s">
        <v>1500</v>
      </c>
      <c r="J101" s="54">
        <v>1.95E-2</v>
      </c>
      <c r="K101" s="55">
        <v>29694614</v>
      </c>
      <c r="L101" s="52">
        <v>1378</v>
      </c>
      <c r="M101" s="54">
        <v>3.8999999999999999E-4</v>
      </c>
    </row>
    <row r="102" spans="1:13" ht="19" x14ac:dyDescent="0.2">
      <c r="A102" s="50">
        <v>101</v>
      </c>
      <c r="B102" s="50" t="s">
        <v>627</v>
      </c>
      <c r="C102" s="50" t="s">
        <v>572</v>
      </c>
      <c r="D102" s="23" t="s">
        <v>76</v>
      </c>
      <c r="E102" s="58" t="str">
        <f>VLOOKUP(D102,all_countries!D:E,2,0)</f>
        <v>🇿🇼</v>
      </c>
      <c r="F102" s="58" t="str">
        <f>VLOOKUP(D102,Сountries!V:Z,2,0)</f>
        <v>Africa</v>
      </c>
      <c r="G102" s="52">
        <v>35231367886</v>
      </c>
      <c r="H102" s="59">
        <f t="shared" si="1"/>
        <v>35.231367886000001</v>
      </c>
      <c r="I102" s="53" t="s">
        <v>1501</v>
      </c>
      <c r="J102" s="54">
        <v>5.3400000000000003E-2</v>
      </c>
      <c r="K102" s="55">
        <v>16340822</v>
      </c>
      <c r="L102" s="52">
        <v>2156</v>
      </c>
      <c r="M102" s="54">
        <v>3.3E-4</v>
      </c>
    </row>
    <row r="103" spans="1:13" ht="19" x14ac:dyDescent="0.2">
      <c r="A103" s="50">
        <v>102</v>
      </c>
      <c r="B103" s="50" t="s">
        <v>625</v>
      </c>
      <c r="C103" s="50" t="s">
        <v>585</v>
      </c>
      <c r="D103" s="23" t="s">
        <v>89</v>
      </c>
      <c r="E103" s="58" t="str">
        <f>VLOOKUP(D103,all_countries!D:E,2,0)</f>
        <v>🇭🇳</v>
      </c>
      <c r="F103" s="58" t="str">
        <f>VLOOKUP(D103,Сountries!V:Z,2,0)</f>
        <v>America</v>
      </c>
      <c r="G103" s="52">
        <v>34400509852</v>
      </c>
      <c r="H103" s="59">
        <f t="shared" si="1"/>
        <v>34.400509851999999</v>
      </c>
      <c r="I103" s="53" t="s">
        <v>1502</v>
      </c>
      <c r="J103" s="54">
        <v>3.5799999999999998E-2</v>
      </c>
      <c r="K103" s="55">
        <v>10644851</v>
      </c>
      <c r="L103" s="52">
        <v>3232</v>
      </c>
      <c r="M103" s="54">
        <v>3.2000000000000003E-4</v>
      </c>
    </row>
    <row r="104" spans="1:13" ht="19" x14ac:dyDescent="0.2">
      <c r="A104" s="50">
        <v>103</v>
      </c>
      <c r="B104" s="50" t="s">
        <v>625</v>
      </c>
      <c r="C104" s="50" t="s">
        <v>1239</v>
      </c>
      <c r="D104" s="23" t="s">
        <v>114</v>
      </c>
      <c r="E104" s="58" t="str">
        <f>VLOOKUP(D104,all_countries!D:E,2,0)</f>
        <v>🇸🇻</v>
      </c>
      <c r="F104" s="58" t="str">
        <f>VLOOKUP(D104,Сountries!V:Z,2,0)</f>
        <v>America</v>
      </c>
      <c r="G104" s="52">
        <v>34015620000</v>
      </c>
      <c r="H104" s="59">
        <f t="shared" si="1"/>
        <v>34.015619999999998</v>
      </c>
      <c r="I104" s="53" t="s">
        <v>1503</v>
      </c>
      <c r="J104" s="54">
        <v>3.5099999999999999E-2</v>
      </c>
      <c r="K104" s="55">
        <v>6309624</v>
      </c>
      <c r="L104" s="52">
        <v>5391</v>
      </c>
      <c r="M104" s="54">
        <v>3.2000000000000003E-4</v>
      </c>
    </row>
    <row r="105" spans="1:13" ht="19" x14ac:dyDescent="0.2">
      <c r="A105" s="50">
        <v>104</v>
      </c>
      <c r="B105" s="50" t="s">
        <v>624</v>
      </c>
      <c r="C105" s="50" t="s">
        <v>1278</v>
      </c>
      <c r="D105" s="23" t="s">
        <v>156</v>
      </c>
      <c r="E105" s="58" t="str">
        <f>VLOOKUP(D105,all_countries!D:E,2,0)</f>
        <v>🇨🇾</v>
      </c>
      <c r="F105" s="58" t="str">
        <f>VLOOKUP(D105,Сountries!V:Z,2,0)</f>
        <v>Asia</v>
      </c>
      <c r="G105" s="52">
        <v>33886930712</v>
      </c>
      <c r="H105" s="59">
        <f t="shared" si="1"/>
        <v>33.886930712000002</v>
      </c>
      <c r="I105" s="53" t="s">
        <v>1504</v>
      </c>
      <c r="J105" s="54">
        <v>2.6100000000000002E-2</v>
      </c>
      <c r="K105" s="55">
        <v>1344976</v>
      </c>
      <c r="L105" s="52">
        <v>25195</v>
      </c>
      <c r="M105" s="54">
        <v>3.2000000000000003E-4</v>
      </c>
    </row>
    <row r="106" spans="1:13" ht="19" x14ac:dyDescent="0.2">
      <c r="A106" s="50">
        <v>105</v>
      </c>
      <c r="B106" s="50" t="s">
        <v>626</v>
      </c>
      <c r="C106" s="50" t="s">
        <v>1294</v>
      </c>
      <c r="D106" s="23" t="s">
        <v>175</v>
      </c>
      <c r="E106" s="58" t="str">
        <f>VLOOKUP(D106,all_countries!D:E,2,0)</f>
        <v>🇮🇸</v>
      </c>
      <c r="F106" s="58" t="str">
        <f>VLOOKUP(D106,Сountries!V:Z,2,0)</f>
        <v>Europe</v>
      </c>
      <c r="G106" s="52">
        <v>31325116556</v>
      </c>
      <c r="H106" s="59">
        <f t="shared" si="1"/>
        <v>31.325116556000001</v>
      </c>
      <c r="I106" s="53" t="s">
        <v>1505</v>
      </c>
      <c r="J106" s="54">
        <v>5.04E-2</v>
      </c>
      <c r="K106" s="55">
        <v>387558</v>
      </c>
      <c r="L106" s="52">
        <v>80827</v>
      </c>
      <c r="M106" s="54">
        <v>2.9999999999999997E-4</v>
      </c>
    </row>
    <row r="107" spans="1:13" ht="19" x14ac:dyDescent="0.2">
      <c r="A107" s="50">
        <v>106</v>
      </c>
      <c r="B107" s="50" t="s">
        <v>627</v>
      </c>
      <c r="C107" s="50" t="s">
        <v>566</v>
      </c>
      <c r="D107" s="23" t="s">
        <v>70</v>
      </c>
      <c r="E107" s="58" t="str">
        <f>VLOOKUP(D107,all_countries!D:E,2,0)</f>
        <v>🇸🇳</v>
      </c>
      <c r="F107" s="58" t="str">
        <f>VLOOKUP(D107,Сountries!V:Z,2,0)</f>
        <v>Africa</v>
      </c>
      <c r="G107" s="52">
        <v>30848333084</v>
      </c>
      <c r="H107" s="59">
        <f t="shared" si="1"/>
        <v>30.848333084</v>
      </c>
      <c r="I107" s="53" t="s">
        <v>1506</v>
      </c>
      <c r="J107" s="54">
        <v>4.58E-2</v>
      </c>
      <c r="K107" s="55">
        <v>18077573</v>
      </c>
      <c r="L107" s="52">
        <v>1706</v>
      </c>
      <c r="M107" s="54">
        <v>2.9E-4</v>
      </c>
    </row>
    <row r="108" spans="1:13" ht="19" x14ac:dyDescent="0.2">
      <c r="A108" s="50">
        <v>107</v>
      </c>
      <c r="B108" s="50" t="s">
        <v>624</v>
      </c>
      <c r="C108" s="50" t="s">
        <v>1255</v>
      </c>
      <c r="D108" s="23" t="s">
        <v>132</v>
      </c>
      <c r="E108" s="58" t="str">
        <f>VLOOKUP(D108,all_countries!D:E,2,0)</f>
        <v>🇬🇪</v>
      </c>
      <c r="F108" s="58" t="str">
        <f>VLOOKUP(D108,Сountries!V:Z,2,0)</f>
        <v>Asia</v>
      </c>
      <c r="G108" s="52">
        <v>30777833585</v>
      </c>
      <c r="H108" s="59">
        <f t="shared" si="1"/>
        <v>30.777833585</v>
      </c>
      <c r="I108" s="53" t="s">
        <v>1507</v>
      </c>
      <c r="J108" s="54">
        <v>7.8299999999999995E-2</v>
      </c>
      <c r="K108" s="55">
        <v>3807492</v>
      </c>
      <c r="L108" s="52">
        <v>8083</v>
      </c>
      <c r="M108" s="54">
        <v>2.9E-4</v>
      </c>
    </row>
    <row r="109" spans="1:13" ht="19" x14ac:dyDescent="0.2">
      <c r="A109" s="50">
        <v>108</v>
      </c>
      <c r="B109" s="50" t="s">
        <v>628</v>
      </c>
      <c r="C109" s="50" t="s">
        <v>588</v>
      </c>
      <c r="D109" s="23" t="s">
        <v>92</v>
      </c>
      <c r="E109" s="58" t="str">
        <f>VLOOKUP(D109,all_countries!D:E,2,0)</f>
        <v>🇵🇬</v>
      </c>
      <c r="F109" s="58" t="str">
        <f>VLOOKUP(D109,Сountries!V:Z,2,0)</f>
        <v>Oceania</v>
      </c>
      <c r="G109" s="52">
        <v>30729242919</v>
      </c>
      <c r="H109" s="59">
        <f t="shared" si="1"/>
        <v>30.729242919000001</v>
      </c>
      <c r="I109" s="53" t="s">
        <v>1508</v>
      </c>
      <c r="J109" s="54">
        <v>3.04E-2</v>
      </c>
      <c r="K109" s="55">
        <v>10389635</v>
      </c>
      <c r="L109" s="52">
        <v>2958</v>
      </c>
      <c r="M109" s="54">
        <v>2.9E-4</v>
      </c>
    </row>
    <row r="110" spans="1:13" ht="19" x14ac:dyDescent="0.2">
      <c r="A110" s="50">
        <v>109</v>
      </c>
      <c r="B110" s="50" t="s">
        <v>627</v>
      </c>
      <c r="C110" s="50" t="s">
        <v>561</v>
      </c>
      <c r="D110" s="23" t="s">
        <v>65</v>
      </c>
      <c r="E110" s="58" t="str">
        <f>VLOOKUP(D110,all_countries!D:E,2,0)</f>
        <v>🇿🇲</v>
      </c>
      <c r="F110" s="58" t="str">
        <f>VLOOKUP(D110,Сountries!V:Z,2,0)</f>
        <v>Africa</v>
      </c>
      <c r="G110" s="52">
        <v>27577956471</v>
      </c>
      <c r="H110" s="59">
        <f t="shared" si="1"/>
        <v>27.577956471</v>
      </c>
      <c r="I110" s="53" t="s">
        <v>1509</v>
      </c>
      <c r="J110" s="54">
        <v>5.3699999999999998E-2</v>
      </c>
      <c r="K110" s="55">
        <v>20723965</v>
      </c>
      <c r="L110" s="52">
        <v>1331</v>
      </c>
      <c r="M110" s="54">
        <v>2.5999999999999998E-4</v>
      </c>
    </row>
    <row r="111" spans="1:13" ht="19" x14ac:dyDescent="0.2">
      <c r="A111" s="50">
        <v>110</v>
      </c>
      <c r="B111" s="50" t="s">
        <v>626</v>
      </c>
      <c r="C111" s="50" t="s">
        <v>1258</v>
      </c>
      <c r="D111" s="23" t="s">
        <v>136</v>
      </c>
      <c r="E111" s="58" t="str">
        <f>VLOOKUP(D111,all_countries!D:E,2,0)</f>
        <v>🇧🇦</v>
      </c>
      <c r="F111" s="58" t="str">
        <f>VLOOKUP(D111,Сountries!V:Z,2,0)</f>
        <v>Europe</v>
      </c>
      <c r="G111" s="52">
        <v>27514782476</v>
      </c>
      <c r="H111" s="59">
        <f t="shared" si="1"/>
        <v>27.514782476000001</v>
      </c>
      <c r="I111" s="53" t="s">
        <v>1510</v>
      </c>
      <c r="J111" s="54">
        <v>2.2100000000000002E-2</v>
      </c>
      <c r="K111" s="55">
        <v>3185073</v>
      </c>
      <c r="L111" s="52">
        <v>8639</v>
      </c>
      <c r="M111" s="54">
        <v>2.5999999999999998E-4</v>
      </c>
    </row>
    <row r="112" spans="1:13" ht="19" x14ac:dyDescent="0.2">
      <c r="A112" s="50">
        <v>111</v>
      </c>
      <c r="B112" s="50" t="s">
        <v>628</v>
      </c>
      <c r="C112" s="50" t="s">
        <v>1276</v>
      </c>
      <c r="D112" s="23" t="s">
        <v>154</v>
      </c>
      <c r="E112" s="58" t="str">
        <f>VLOOKUP(D112,all_countries!D:E,2,0)</f>
        <v>🇹🇹</v>
      </c>
      <c r="F112" s="58" t="str">
        <f>VLOOKUP(D112,Сountries!V:Z,2,0)</f>
        <v>Oceania</v>
      </c>
      <c r="G112" s="52">
        <v>27372285698</v>
      </c>
      <c r="H112" s="59">
        <f t="shared" si="1"/>
        <v>27.372285697999999</v>
      </c>
      <c r="I112" s="53" t="s">
        <v>1511</v>
      </c>
      <c r="J112" s="54">
        <v>1.35E-2</v>
      </c>
      <c r="K112" s="55">
        <v>1502932</v>
      </c>
      <c r="L112" s="52">
        <v>18213</v>
      </c>
      <c r="M112" s="54">
        <v>2.5999999999999998E-4</v>
      </c>
    </row>
    <row r="113" spans="1:13" ht="19" x14ac:dyDescent="0.2">
      <c r="A113" s="50">
        <v>112</v>
      </c>
      <c r="B113" s="50" t="s">
        <v>624</v>
      </c>
      <c r="C113" s="50" t="s">
        <v>1262</v>
      </c>
      <c r="D113" s="23" t="s">
        <v>140</v>
      </c>
      <c r="E113" s="58" t="str">
        <f>VLOOKUP(D113,all_countries!D:E,2,0)</f>
        <v>🇦🇲</v>
      </c>
      <c r="F113" s="58" t="str">
        <f>VLOOKUP(D113,Сountries!V:Z,2,0)</f>
        <v>Asia</v>
      </c>
      <c r="G113" s="52">
        <v>24085749592</v>
      </c>
      <c r="H113" s="59">
        <f t="shared" si="1"/>
        <v>24.085749591999999</v>
      </c>
      <c r="I113" s="53" t="s">
        <v>1512</v>
      </c>
      <c r="J113" s="54">
        <v>8.3000000000000004E-2</v>
      </c>
      <c r="K113" s="55">
        <v>2943393</v>
      </c>
      <c r="L113" s="52">
        <v>8183</v>
      </c>
      <c r="M113" s="54">
        <v>2.3000000000000001E-4</v>
      </c>
    </row>
    <row r="114" spans="1:13" ht="19" x14ac:dyDescent="0.2">
      <c r="A114" s="50">
        <v>113</v>
      </c>
      <c r="B114" s="50" t="s">
        <v>626</v>
      </c>
      <c r="C114" s="50" t="s">
        <v>1266</v>
      </c>
      <c r="D114" s="23" t="s">
        <v>144</v>
      </c>
      <c r="E114" s="58" t="str">
        <f>VLOOKUP(D114,all_countries!D:E,2,0)</f>
        <v>🇦🇱</v>
      </c>
      <c r="F114" s="58" t="str">
        <f>VLOOKUP(D114,Сountries!V:Z,2,0)</f>
        <v>Europe</v>
      </c>
      <c r="G114" s="52">
        <v>23547179830</v>
      </c>
      <c r="H114" s="59">
        <f t="shared" si="1"/>
        <v>23.547179830000001</v>
      </c>
      <c r="I114" s="53" t="s">
        <v>1513</v>
      </c>
      <c r="J114" s="54">
        <v>3.9399999999999998E-2</v>
      </c>
      <c r="K114" s="55">
        <v>2811655</v>
      </c>
      <c r="L114" s="52">
        <v>8375</v>
      </c>
      <c r="M114" s="54">
        <v>2.2000000000000001E-4</v>
      </c>
    </row>
    <row r="115" spans="1:13" ht="19" x14ac:dyDescent="0.2">
      <c r="A115" s="50">
        <v>114</v>
      </c>
      <c r="B115" s="50" t="s">
        <v>626</v>
      </c>
      <c r="C115" s="50" t="s">
        <v>544</v>
      </c>
      <c r="D115" s="23" t="s">
        <v>169</v>
      </c>
      <c r="E115" s="58" t="str">
        <f>VLOOKUP(D115,all_countries!D:E,2,0)</f>
        <v>🇲🇹</v>
      </c>
      <c r="F115" s="58" t="str">
        <f>VLOOKUP(D115,Сountries!V:Z,2,0)</f>
        <v>Europe</v>
      </c>
      <c r="G115" s="52">
        <v>22328640242</v>
      </c>
      <c r="H115" s="59">
        <f t="shared" si="1"/>
        <v>22.328640241999999</v>
      </c>
      <c r="I115" s="53" t="s">
        <v>1514</v>
      </c>
      <c r="J115" s="54">
        <v>7.4999999999999997E-2</v>
      </c>
      <c r="K115" s="55">
        <v>532956</v>
      </c>
      <c r="L115" s="52">
        <v>41896</v>
      </c>
      <c r="M115" s="54">
        <v>2.1000000000000001E-4</v>
      </c>
    </row>
    <row r="116" spans="1:13" ht="19" x14ac:dyDescent="0.2">
      <c r="A116" s="50">
        <v>115</v>
      </c>
      <c r="B116" s="50" t="s">
        <v>627</v>
      </c>
      <c r="C116" s="50" t="s">
        <v>573</v>
      </c>
      <c r="D116" s="23" t="s">
        <v>77</v>
      </c>
      <c r="E116" s="58" t="str">
        <f>VLOOKUP(D116,all_countries!D:E,2,0)</f>
        <v>🇬🇫</v>
      </c>
      <c r="F116" s="58" t="str">
        <f>VLOOKUP(D116,Сountries!V:Z,2,0)</f>
        <v>Africa</v>
      </c>
      <c r="G116" s="52">
        <v>22199409741</v>
      </c>
      <c r="H116" s="59">
        <f t="shared" si="1"/>
        <v>22.199409741</v>
      </c>
      <c r="I116" s="53" t="s">
        <v>1515</v>
      </c>
      <c r="J116" s="54">
        <v>6.7400000000000002E-2</v>
      </c>
      <c r="K116" s="55">
        <v>14405468</v>
      </c>
      <c r="L116" s="52">
        <v>1541</v>
      </c>
      <c r="M116" s="54">
        <v>2.1000000000000001E-4</v>
      </c>
    </row>
    <row r="117" spans="1:13" ht="19" x14ac:dyDescent="0.2">
      <c r="A117" s="50">
        <v>116</v>
      </c>
      <c r="B117" s="50" t="s">
        <v>627</v>
      </c>
      <c r="C117" s="50" t="s">
        <v>548</v>
      </c>
      <c r="D117" s="23" t="s">
        <v>48</v>
      </c>
      <c r="E117" s="58" t="str">
        <f>VLOOKUP(D117,all_countries!D:E,2,0)</f>
        <v>🇲🇿</v>
      </c>
      <c r="F117" s="58" t="str">
        <f>VLOOKUP(D117,Сountries!V:Z,2,0)</f>
        <v>Africa</v>
      </c>
      <c r="G117" s="52">
        <v>20954220984</v>
      </c>
      <c r="H117" s="59">
        <f t="shared" si="1"/>
        <v>20.954220983999999</v>
      </c>
      <c r="I117" s="53" t="s">
        <v>1516</v>
      </c>
      <c r="J117" s="54">
        <v>5.4399999999999997E-2</v>
      </c>
      <c r="K117" s="55">
        <v>33635160</v>
      </c>
      <c r="L117" s="52">
        <v>623</v>
      </c>
      <c r="M117" s="54">
        <v>2.0000000000000001E-4</v>
      </c>
    </row>
    <row r="118" spans="1:13" ht="19" x14ac:dyDescent="0.2">
      <c r="A118" s="50">
        <v>117</v>
      </c>
      <c r="B118" s="50" t="s">
        <v>627</v>
      </c>
      <c r="C118" s="50" t="s">
        <v>543</v>
      </c>
      <c r="D118" s="23" t="s">
        <v>61</v>
      </c>
      <c r="E118" s="58" t="str">
        <f>VLOOKUP(D118,all_countries!D:E,2,0)</f>
        <v>🇲🇱</v>
      </c>
      <c r="F118" s="58" t="str">
        <f>VLOOKUP(D118,Сountries!V:Z,2,0)</f>
        <v>Africa</v>
      </c>
      <c r="G118" s="52">
        <v>20661794596</v>
      </c>
      <c r="H118" s="59">
        <f t="shared" si="1"/>
        <v>20.661794596</v>
      </c>
      <c r="I118" s="53" t="s">
        <v>1517</v>
      </c>
      <c r="J118" s="54">
        <v>4.6600000000000003E-2</v>
      </c>
      <c r="K118" s="55">
        <v>23769127</v>
      </c>
      <c r="L118" s="52">
        <v>869</v>
      </c>
      <c r="M118" s="54">
        <v>1.9000000000000001E-4</v>
      </c>
    </row>
    <row r="119" spans="1:13" ht="19" x14ac:dyDescent="0.2">
      <c r="A119" s="50">
        <v>118</v>
      </c>
      <c r="B119" s="50" t="s">
        <v>624</v>
      </c>
      <c r="C119" s="50" t="s">
        <v>1257</v>
      </c>
      <c r="D119" s="23" t="s">
        <v>134</v>
      </c>
      <c r="E119" s="58" t="str">
        <f>VLOOKUP(D119,all_countries!D:E,2,0)</f>
        <v>🇲🇳</v>
      </c>
      <c r="F119" s="58" t="str">
        <f>VLOOKUP(D119,Сountries!V:Z,2,0)</f>
        <v>Asia</v>
      </c>
      <c r="G119" s="52">
        <v>20325121394</v>
      </c>
      <c r="H119" s="59">
        <f t="shared" si="1"/>
        <v>20.325121394</v>
      </c>
      <c r="I119" s="53" t="s">
        <v>1518</v>
      </c>
      <c r="J119" s="54">
        <v>7.4200000000000002E-2</v>
      </c>
      <c r="K119" s="55">
        <v>3431932</v>
      </c>
      <c r="L119" s="52">
        <v>5922</v>
      </c>
      <c r="M119" s="54">
        <v>1.9000000000000001E-4</v>
      </c>
    </row>
    <row r="120" spans="1:13" ht="19" x14ac:dyDescent="0.2">
      <c r="A120" s="50">
        <v>119</v>
      </c>
      <c r="B120" s="50" t="s">
        <v>627</v>
      </c>
      <c r="C120" s="50" t="s">
        <v>559</v>
      </c>
      <c r="D120" s="23" t="s">
        <v>62</v>
      </c>
      <c r="E120" s="58" t="str">
        <f>VLOOKUP(D120,all_countries!D:E,2,0)</f>
        <v>🇧🇫</v>
      </c>
      <c r="F120" s="58" t="str">
        <f>VLOOKUP(D120,Сountries!V:Z,2,0)</f>
        <v>Africa</v>
      </c>
      <c r="G120" s="52">
        <v>20324617845</v>
      </c>
      <c r="H120" s="59">
        <f t="shared" si="1"/>
        <v>20.324617844999999</v>
      </c>
      <c r="I120" s="53" t="s">
        <v>1518</v>
      </c>
      <c r="J120" s="54">
        <v>2.9600000000000001E-2</v>
      </c>
      <c r="K120" s="55">
        <v>23025776</v>
      </c>
      <c r="L120" s="52">
        <v>883</v>
      </c>
      <c r="M120" s="54">
        <v>1.9000000000000001E-4</v>
      </c>
    </row>
    <row r="121" spans="1:13" ht="19" x14ac:dyDescent="0.2">
      <c r="A121" s="50">
        <v>120</v>
      </c>
      <c r="B121" s="50" t="s">
        <v>628</v>
      </c>
      <c r="C121" s="50" t="s">
        <v>580</v>
      </c>
      <c r="D121" s="23" t="s">
        <v>84</v>
      </c>
      <c r="E121" s="58" t="str">
        <f>VLOOKUP(D121,all_countries!D:E,2,0)</f>
        <v>🇭🇹</v>
      </c>
      <c r="F121" s="58" t="str">
        <f>VLOOKUP(D121,Сountries!V:Z,2,0)</f>
        <v>Oceania</v>
      </c>
      <c r="G121" s="52">
        <v>19850829758</v>
      </c>
      <c r="H121" s="59">
        <f t="shared" si="1"/>
        <v>19.850829758</v>
      </c>
      <c r="I121" s="53" t="s">
        <v>1519</v>
      </c>
      <c r="J121" s="53" t="s">
        <v>1520</v>
      </c>
      <c r="K121" s="55">
        <v>11637398</v>
      </c>
      <c r="L121" s="52">
        <v>1706</v>
      </c>
      <c r="M121" s="54">
        <v>1.9000000000000001E-4</v>
      </c>
    </row>
    <row r="122" spans="1:13" ht="19" x14ac:dyDescent="0.2">
      <c r="A122" s="50">
        <v>121</v>
      </c>
      <c r="B122" s="50" t="s">
        <v>627</v>
      </c>
      <c r="C122" s="50" t="s">
        <v>574</v>
      </c>
      <c r="D122" s="23" t="s">
        <v>78</v>
      </c>
      <c r="E122" s="58" t="str">
        <f>VLOOKUP(D122,all_countries!D:E,2,0)</f>
        <v>🇧🇯</v>
      </c>
      <c r="F122" s="58" t="str">
        <f>VLOOKUP(D122,Сountries!V:Z,2,0)</f>
        <v>Africa</v>
      </c>
      <c r="G122" s="52">
        <v>19676049076</v>
      </c>
      <c r="H122" s="59">
        <f t="shared" si="1"/>
        <v>19.676049076000002</v>
      </c>
      <c r="I122" s="53" t="s">
        <v>1521</v>
      </c>
      <c r="J122" s="54">
        <v>6.3500000000000001E-2</v>
      </c>
      <c r="K122" s="55">
        <v>14111034</v>
      </c>
      <c r="L122" s="52">
        <v>1394</v>
      </c>
      <c r="M122" s="54">
        <v>1.9000000000000001E-4</v>
      </c>
    </row>
    <row r="123" spans="1:13" ht="19" x14ac:dyDescent="0.2">
      <c r="A123" s="50">
        <v>122</v>
      </c>
      <c r="B123" s="50" t="s">
        <v>628</v>
      </c>
      <c r="C123" s="50" t="s">
        <v>1263</v>
      </c>
      <c r="D123" s="23" t="s">
        <v>141</v>
      </c>
      <c r="E123" s="58" t="str">
        <f>VLOOKUP(D123,all_countries!D:E,2,0)</f>
        <v>🇯🇲</v>
      </c>
      <c r="F123" s="58" t="str">
        <f>VLOOKUP(D123,Сountries!V:Z,2,0)</f>
        <v>Oceania</v>
      </c>
      <c r="G123" s="52">
        <v>19423355409</v>
      </c>
      <c r="H123" s="59">
        <f t="shared" si="1"/>
        <v>19.423355408999999</v>
      </c>
      <c r="I123" s="53" t="s">
        <v>1522</v>
      </c>
      <c r="J123" s="54">
        <v>2.1999999999999999E-2</v>
      </c>
      <c r="K123" s="55">
        <v>2839786</v>
      </c>
      <c r="L123" s="52">
        <v>6840</v>
      </c>
      <c r="M123" s="54">
        <v>1.8000000000000001E-4</v>
      </c>
    </row>
    <row r="124" spans="1:13" ht="19" x14ac:dyDescent="0.2">
      <c r="A124" s="50">
        <v>123</v>
      </c>
      <c r="B124" s="50" t="s">
        <v>627</v>
      </c>
      <c r="C124" s="50" t="s">
        <v>1268</v>
      </c>
      <c r="D124" s="23" t="s">
        <v>146</v>
      </c>
      <c r="E124" s="58" t="str">
        <f>VLOOKUP(D124,all_countries!D:E,2,0)</f>
        <v>🇧🇼</v>
      </c>
      <c r="F124" s="58" t="str">
        <f>VLOOKUP(D124,Сountries!V:Z,2,0)</f>
        <v>Africa</v>
      </c>
      <c r="G124" s="52">
        <v>19396084498</v>
      </c>
      <c r="H124" s="59">
        <f t="shared" si="1"/>
        <v>19.396084498</v>
      </c>
      <c r="I124" s="53" t="s">
        <v>1523</v>
      </c>
      <c r="J124" s="54">
        <v>2.7300000000000001E-2</v>
      </c>
      <c r="K124" s="55">
        <v>2480244</v>
      </c>
      <c r="L124" s="52">
        <v>7820</v>
      </c>
      <c r="M124" s="54">
        <v>1.8000000000000001E-4</v>
      </c>
    </row>
    <row r="125" spans="1:13" ht="19" x14ac:dyDescent="0.2">
      <c r="A125" s="50">
        <v>124</v>
      </c>
      <c r="B125" s="50" t="s">
        <v>627</v>
      </c>
      <c r="C125" s="50" t="s">
        <v>1267</v>
      </c>
      <c r="D125" s="23" t="s">
        <v>145</v>
      </c>
      <c r="E125" s="58" t="str">
        <f>VLOOKUP(D125,all_countries!D:E,2,0)</f>
        <v>🇬🇦</v>
      </c>
      <c r="F125" s="58" t="str">
        <f>VLOOKUP(D125,Сountries!V:Z,2,0)</f>
        <v>Africa</v>
      </c>
      <c r="G125" s="52">
        <v>19388402542</v>
      </c>
      <c r="H125" s="59">
        <f t="shared" si="1"/>
        <v>19.388402542000001</v>
      </c>
      <c r="I125" s="53" t="s">
        <v>1524</v>
      </c>
      <c r="J125" s="54">
        <v>2.4500000000000001E-2</v>
      </c>
      <c r="K125" s="55">
        <v>2484789</v>
      </c>
      <c r="L125" s="52">
        <v>7803</v>
      </c>
      <c r="M125" s="54">
        <v>1.8000000000000001E-4</v>
      </c>
    </row>
    <row r="126" spans="1:13" ht="19" x14ac:dyDescent="0.2">
      <c r="A126" s="50">
        <v>125</v>
      </c>
      <c r="B126" s="50" t="s">
        <v>625</v>
      </c>
      <c r="C126" s="50" t="s">
        <v>1235</v>
      </c>
      <c r="D126" s="23" t="s">
        <v>110</v>
      </c>
      <c r="E126" s="58" t="str">
        <f>VLOOKUP(D126,all_countries!D:E,2,0)</f>
        <v>🇳🇮</v>
      </c>
      <c r="F126" s="58" t="str">
        <f>VLOOKUP(D126,Сountries!V:Z,2,0)</f>
        <v>America</v>
      </c>
      <c r="G126" s="52">
        <v>17829218219</v>
      </c>
      <c r="H126" s="59">
        <f t="shared" si="1"/>
        <v>17.829218219000001</v>
      </c>
      <c r="I126" s="53" t="s">
        <v>1525</v>
      </c>
      <c r="J126" s="54">
        <v>4.5699999999999998E-2</v>
      </c>
      <c r="K126" s="55">
        <v>6823613</v>
      </c>
      <c r="L126" s="52">
        <v>2613</v>
      </c>
      <c r="M126" s="54">
        <v>1.7000000000000001E-4</v>
      </c>
    </row>
    <row r="127" spans="1:13" ht="19" x14ac:dyDescent="0.2">
      <c r="A127" s="50">
        <v>126</v>
      </c>
      <c r="B127" s="50" t="s">
        <v>624</v>
      </c>
      <c r="C127" s="50" t="s">
        <v>1217</v>
      </c>
      <c r="D127" s="23" t="s">
        <v>121</v>
      </c>
      <c r="E127" s="58" t="str">
        <f>VLOOKUP(D127,all_countries!D:E,2,0)</f>
        <v>🇵🇸</v>
      </c>
      <c r="F127" s="58" t="str">
        <f>VLOOKUP(D127,Сountries!V:Z,2,0)</f>
        <v>Asia</v>
      </c>
      <c r="G127" s="52">
        <v>17420800000</v>
      </c>
      <c r="H127" s="59">
        <f t="shared" si="1"/>
        <v>17.4208</v>
      </c>
      <c r="I127" s="53" t="s">
        <v>1526</v>
      </c>
      <c r="J127" s="53" t="s">
        <v>1527</v>
      </c>
      <c r="K127" s="55">
        <v>5409202</v>
      </c>
      <c r="L127" s="52">
        <v>3221</v>
      </c>
      <c r="M127" s="54">
        <v>1.6000000000000001E-4</v>
      </c>
    </row>
    <row r="128" spans="1:13" ht="19" x14ac:dyDescent="0.2">
      <c r="A128" s="50">
        <v>127</v>
      </c>
      <c r="B128" s="50" t="s">
        <v>624</v>
      </c>
      <c r="C128" s="50" t="s">
        <v>532</v>
      </c>
      <c r="D128" s="23" t="s">
        <v>39</v>
      </c>
      <c r="E128" s="58" t="str">
        <f>VLOOKUP(D128,all_countries!D:E,2,0)</f>
        <v>🇦🇫</v>
      </c>
      <c r="F128" s="58" t="str">
        <f>VLOOKUP(D128,Сountries!V:Z,2,0)</f>
        <v>Asia</v>
      </c>
      <c r="G128" s="52">
        <v>17233051620</v>
      </c>
      <c r="H128" s="59">
        <f t="shared" si="1"/>
        <v>17.233051620000001</v>
      </c>
      <c r="I128" s="53" t="s">
        <v>1528</v>
      </c>
      <c r="J128" s="54">
        <v>2.7099999999999999E-2</v>
      </c>
      <c r="K128" s="55">
        <v>41454761</v>
      </c>
      <c r="L128" s="52">
        <v>416</v>
      </c>
      <c r="M128" s="54">
        <v>1.6000000000000001E-4</v>
      </c>
    </row>
    <row r="129" spans="1:13" ht="19" x14ac:dyDescent="0.2">
      <c r="A129" s="50">
        <v>128</v>
      </c>
      <c r="B129" s="50" t="s">
        <v>625</v>
      </c>
      <c r="C129" s="50" t="s">
        <v>1285</v>
      </c>
      <c r="D129" s="23" t="s">
        <v>164</v>
      </c>
      <c r="E129" s="58" t="str">
        <f>VLOOKUP(D129,all_countries!D:E,2,0)</f>
        <v>🇬🇾</v>
      </c>
      <c r="F129" s="58" t="str">
        <f>VLOOKUP(D129,Сountries!V:Z,2,0)</f>
        <v>America</v>
      </c>
      <c r="G129" s="52">
        <v>17159509565</v>
      </c>
      <c r="H129" s="59">
        <f t="shared" si="1"/>
        <v>17.159509565</v>
      </c>
      <c r="I129" s="53" t="s">
        <v>1529</v>
      </c>
      <c r="J129" s="54">
        <v>0.33800000000000002</v>
      </c>
      <c r="K129" s="55">
        <v>826353</v>
      </c>
      <c r="L129" s="52">
        <v>20765</v>
      </c>
      <c r="M129" s="54">
        <v>1.6000000000000001E-4</v>
      </c>
    </row>
    <row r="130" spans="1:13" ht="19" x14ac:dyDescent="0.2">
      <c r="A130" s="50">
        <v>129</v>
      </c>
      <c r="B130" s="50" t="s">
        <v>627</v>
      </c>
      <c r="C130" s="50" t="s">
        <v>556</v>
      </c>
      <c r="D130" s="23" t="s">
        <v>57</v>
      </c>
      <c r="E130" s="58" t="str">
        <f>VLOOKUP(D130,all_countries!D:E,2,0)</f>
        <v>🇳🇪</v>
      </c>
      <c r="F130" s="58" t="str">
        <f>VLOOKUP(D130,Сountries!V:Z,2,0)</f>
        <v>Africa</v>
      </c>
      <c r="G130" s="52">
        <v>16819170421</v>
      </c>
      <c r="H130" s="59">
        <f t="shared" si="1"/>
        <v>16.819170420999999</v>
      </c>
      <c r="I130" s="53" t="s">
        <v>1530</v>
      </c>
      <c r="J130" s="54">
        <v>2.5000000000000001E-2</v>
      </c>
      <c r="K130" s="55">
        <v>26159867</v>
      </c>
      <c r="L130" s="52">
        <v>643</v>
      </c>
      <c r="M130" s="54">
        <v>1.6000000000000001E-4</v>
      </c>
    </row>
    <row r="131" spans="1:13" ht="19" x14ac:dyDescent="0.2">
      <c r="A131" s="50">
        <v>130</v>
      </c>
      <c r="B131" s="50" t="s">
        <v>626</v>
      </c>
      <c r="C131" s="50" t="s">
        <v>1261</v>
      </c>
      <c r="D131" s="23" t="s">
        <v>139</v>
      </c>
      <c r="E131" s="58" t="str">
        <f>VLOOKUP(D131,all_countries!D:E,2,0)</f>
        <v>🇲🇩</v>
      </c>
      <c r="F131" s="58" t="str">
        <f>VLOOKUP(D131,Сountries!V:Z,2,0)</f>
        <v>Europe</v>
      </c>
      <c r="G131" s="52">
        <v>16539436547</v>
      </c>
      <c r="H131" s="59">
        <f t="shared" ref="H131:H182" si="2">G131/1000000000</f>
        <v>16.539436547000001</v>
      </c>
      <c r="I131" s="53" t="s">
        <v>1531</v>
      </c>
      <c r="J131" s="54">
        <v>7.7999999999999996E-3</v>
      </c>
      <c r="K131" s="55">
        <v>3067070</v>
      </c>
      <c r="L131" s="52">
        <v>5393</v>
      </c>
      <c r="M131" s="54">
        <v>1.6000000000000001E-4</v>
      </c>
    </row>
    <row r="132" spans="1:13" ht="19" x14ac:dyDescent="0.2">
      <c r="A132" s="50">
        <v>131</v>
      </c>
      <c r="B132" s="50" t="s">
        <v>624</v>
      </c>
      <c r="C132" s="50" t="s">
        <v>601</v>
      </c>
      <c r="D132" s="23" t="s">
        <v>105</v>
      </c>
      <c r="E132" s="58" t="str">
        <f>VLOOKUP(D132,all_countries!D:E,2,0)</f>
        <v>🇱🇦</v>
      </c>
      <c r="F132" s="58" t="str">
        <f>VLOOKUP(D132,Сountries!V:Z,2,0)</f>
        <v>Asia</v>
      </c>
      <c r="G132" s="52">
        <v>15843155731</v>
      </c>
      <c r="H132" s="59">
        <f t="shared" si="2"/>
        <v>15.843155731</v>
      </c>
      <c r="I132" s="53" t="s">
        <v>1532</v>
      </c>
      <c r="J132" s="54">
        <v>3.7499999999999999E-2</v>
      </c>
      <c r="K132" s="55">
        <v>7664993</v>
      </c>
      <c r="L132" s="52">
        <v>2067</v>
      </c>
      <c r="M132" s="54">
        <v>1.4999999999999999E-4</v>
      </c>
    </row>
    <row r="133" spans="1:13" ht="19" x14ac:dyDescent="0.2">
      <c r="A133" s="50">
        <v>132</v>
      </c>
      <c r="B133" s="50" t="s">
        <v>627</v>
      </c>
      <c r="C133" s="50" t="s">
        <v>542</v>
      </c>
      <c r="D133" s="23" t="s">
        <v>52</v>
      </c>
      <c r="E133" s="58" t="str">
        <f>VLOOKUP(D133,all_countries!D:E,2,0)</f>
        <v>🇲🇬</v>
      </c>
      <c r="F133" s="58" t="str">
        <f>VLOOKUP(D133,Сountries!V:Z,2,0)</f>
        <v>Africa</v>
      </c>
      <c r="G133" s="52">
        <v>15790113247</v>
      </c>
      <c r="H133" s="59">
        <f t="shared" si="2"/>
        <v>15.790113247000001</v>
      </c>
      <c r="I133" s="53" t="s">
        <v>1533</v>
      </c>
      <c r="J133" s="54">
        <v>3.7999999999999999E-2</v>
      </c>
      <c r="K133" s="55">
        <v>31195932</v>
      </c>
      <c r="L133" s="52">
        <v>506</v>
      </c>
      <c r="M133" s="54">
        <v>1.4999999999999999E-4</v>
      </c>
    </row>
    <row r="134" spans="1:13" ht="19" x14ac:dyDescent="0.2">
      <c r="A134" s="50">
        <v>133</v>
      </c>
      <c r="B134" s="50" t="s">
        <v>626</v>
      </c>
      <c r="C134" s="50" t="s">
        <v>1274</v>
      </c>
      <c r="D134" s="23" t="s">
        <v>152</v>
      </c>
      <c r="E134" s="58" t="str">
        <f>VLOOKUP(D134,all_countries!D:E,2,0)</f>
        <v>🇲🇰</v>
      </c>
      <c r="F134" s="58" t="str">
        <f>VLOOKUP(D134,Сountries!V:Z,2,0)</f>
        <v>Europe</v>
      </c>
      <c r="G134" s="52">
        <v>15763621848</v>
      </c>
      <c r="H134" s="59">
        <f t="shared" si="2"/>
        <v>15.763621848</v>
      </c>
      <c r="I134" s="53" t="s">
        <v>1534</v>
      </c>
      <c r="J134" s="54">
        <v>2.07E-2</v>
      </c>
      <c r="K134" s="55">
        <v>1831802</v>
      </c>
      <c r="L134" s="52">
        <v>8606</v>
      </c>
      <c r="M134" s="54">
        <v>1.4999999999999999E-4</v>
      </c>
    </row>
    <row r="135" spans="1:13" ht="19" x14ac:dyDescent="0.2">
      <c r="A135" s="50">
        <v>134</v>
      </c>
      <c r="B135" s="50" t="s">
        <v>627</v>
      </c>
      <c r="C135" s="50" t="s">
        <v>1238</v>
      </c>
      <c r="D135" s="23" t="s">
        <v>113</v>
      </c>
      <c r="E135" s="58" t="str">
        <f>VLOOKUP(D135,all_countries!D:E,2,0)</f>
        <v>🇨🇬</v>
      </c>
      <c r="F135" s="58" t="str">
        <f>VLOOKUP(D135,Сountries!V:Z,2,0)</f>
        <v>Africa</v>
      </c>
      <c r="G135" s="52">
        <v>15321055823</v>
      </c>
      <c r="H135" s="59">
        <f t="shared" si="2"/>
        <v>15.321055823</v>
      </c>
      <c r="I135" s="53" t="s">
        <v>1535</v>
      </c>
      <c r="J135" s="54">
        <v>1.9099999999999999E-2</v>
      </c>
      <c r="K135" s="55">
        <v>6182885</v>
      </c>
      <c r="L135" s="52">
        <v>2478</v>
      </c>
      <c r="M135" s="54">
        <v>1.3999999999999999E-4</v>
      </c>
    </row>
    <row r="136" spans="1:13" ht="19" x14ac:dyDescent="0.2">
      <c r="A136" s="50">
        <v>135</v>
      </c>
      <c r="B136" s="50" t="s">
        <v>628</v>
      </c>
      <c r="C136" s="50" t="s">
        <v>1291</v>
      </c>
      <c r="D136" s="23" t="s">
        <v>172</v>
      </c>
      <c r="E136" s="58" t="str">
        <f>VLOOKUP(D136,all_countries!D:E,2,0)</f>
        <v>🇧🇳</v>
      </c>
      <c r="F136" s="58" t="str">
        <f>VLOOKUP(D136,Сountries!V:Z,2,0)</f>
        <v>Oceania</v>
      </c>
      <c r="G136" s="52">
        <v>15128292981</v>
      </c>
      <c r="H136" s="59">
        <f t="shared" si="2"/>
        <v>15.128292981</v>
      </c>
      <c r="I136" s="53" t="s">
        <v>1536</v>
      </c>
      <c r="J136" s="54">
        <v>1.41E-2</v>
      </c>
      <c r="K136" s="55">
        <v>458949</v>
      </c>
      <c r="L136" s="52">
        <v>32963</v>
      </c>
      <c r="M136" s="54">
        <v>1.3999999999999999E-4</v>
      </c>
    </row>
    <row r="137" spans="1:13" ht="19" x14ac:dyDescent="0.2">
      <c r="A137" s="50">
        <v>136</v>
      </c>
      <c r="B137" s="50" t="s">
        <v>627</v>
      </c>
      <c r="C137" s="50" t="s">
        <v>547</v>
      </c>
      <c r="D137" s="23" t="s">
        <v>158</v>
      </c>
      <c r="E137" s="58" t="str">
        <f>VLOOKUP(D137,all_countries!D:E,2,0)</f>
        <v>🇲🇺</v>
      </c>
      <c r="F137" s="58" t="str">
        <f>VLOOKUP(D137,Сountries!V:Z,2,0)</f>
        <v>Africa</v>
      </c>
      <c r="G137" s="52">
        <v>14644524819</v>
      </c>
      <c r="H137" s="59">
        <f t="shared" si="2"/>
        <v>14.644524819000001</v>
      </c>
      <c r="I137" s="53" t="s">
        <v>1537</v>
      </c>
      <c r="J137" s="54">
        <v>6.9599999999999995E-2</v>
      </c>
      <c r="K137" s="55">
        <v>1273588</v>
      </c>
      <c r="L137" s="52">
        <v>11499</v>
      </c>
      <c r="M137" s="54">
        <v>1.3999999999999999E-4</v>
      </c>
    </row>
    <row r="138" spans="1:13" ht="19" x14ac:dyDescent="0.2">
      <c r="A138" s="50">
        <v>137</v>
      </c>
      <c r="B138" s="50" t="s">
        <v>628</v>
      </c>
      <c r="C138" s="50" t="s">
        <v>1293</v>
      </c>
      <c r="D138" s="23" t="s">
        <v>174</v>
      </c>
      <c r="E138" s="58" t="str">
        <f>VLOOKUP(D138,all_countries!D:E,2,0)</f>
        <v>🇧🇸</v>
      </c>
      <c r="F138" s="58" t="str">
        <f>VLOOKUP(D138,Сountries!V:Z,2,0)</f>
        <v>Oceania</v>
      </c>
      <c r="G138" s="52">
        <v>14338500000</v>
      </c>
      <c r="H138" s="59">
        <f t="shared" si="2"/>
        <v>14.3385</v>
      </c>
      <c r="I138" s="53" t="s">
        <v>1538</v>
      </c>
      <c r="J138" s="54">
        <v>2.64E-2</v>
      </c>
      <c r="K138" s="55">
        <v>399440</v>
      </c>
      <c r="L138" s="52">
        <v>35897</v>
      </c>
      <c r="M138" s="54">
        <v>1.3999999999999999E-4</v>
      </c>
    </row>
    <row r="139" spans="1:13" ht="19" x14ac:dyDescent="0.2">
      <c r="A139" s="50">
        <v>138</v>
      </c>
      <c r="B139" s="50" t="s">
        <v>627</v>
      </c>
      <c r="C139" s="50" t="s">
        <v>575</v>
      </c>
      <c r="D139" s="23" t="s">
        <v>79</v>
      </c>
      <c r="E139" s="58" t="str">
        <f>VLOOKUP(D139,all_countries!D:E,2,0)</f>
        <v>🇷🇼</v>
      </c>
      <c r="F139" s="58" t="str">
        <f>VLOOKUP(D139,Сountries!V:Z,2,0)</f>
        <v>Africa</v>
      </c>
      <c r="G139" s="52">
        <v>14097768472</v>
      </c>
      <c r="H139" s="59">
        <f t="shared" si="2"/>
        <v>14.097768472</v>
      </c>
      <c r="I139" s="53" t="s">
        <v>1539</v>
      </c>
      <c r="J139" s="54">
        <v>8.2400000000000001E-2</v>
      </c>
      <c r="K139" s="55">
        <v>13954471</v>
      </c>
      <c r="L139" s="52">
        <v>1010</v>
      </c>
      <c r="M139" s="54">
        <v>1.2999999999999999E-4</v>
      </c>
    </row>
    <row r="140" spans="1:13" ht="19" x14ac:dyDescent="0.2">
      <c r="A140" s="50">
        <v>139</v>
      </c>
      <c r="B140" s="50" t="s">
        <v>624</v>
      </c>
      <c r="C140" s="50" t="s">
        <v>1233</v>
      </c>
      <c r="D140" s="23" t="s">
        <v>108</v>
      </c>
      <c r="E140" s="58" t="str">
        <f>VLOOKUP(D140,all_countries!D:E,2,0)</f>
        <v>🇰🇬</v>
      </c>
      <c r="F140" s="58" t="str">
        <f>VLOOKUP(D140,Сountries!V:Z,2,0)</f>
        <v>Asia</v>
      </c>
      <c r="G140" s="52">
        <v>13987627909</v>
      </c>
      <c r="H140" s="59">
        <f t="shared" si="2"/>
        <v>13.987627909</v>
      </c>
      <c r="I140" s="53" t="s">
        <v>1540</v>
      </c>
      <c r="J140" s="54">
        <v>6.1499999999999999E-2</v>
      </c>
      <c r="K140" s="55">
        <v>7073516</v>
      </c>
      <c r="L140" s="52">
        <v>1977</v>
      </c>
      <c r="M140" s="54">
        <v>1.2999999999999999E-4</v>
      </c>
    </row>
    <row r="141" spans="1:13" ht="19" x14ac:dyDescent="0.2">
      <c r="A141" s="50">
        <v>140</v>
      </c>
      <c r="B141" s="50" t="s">
        <v>627</v>
      </c>
      <c r="C141" s="50" t="s">
        <v>562</v>
      </c>
      <c r="D141" s="23" t="s">
        <v>66</v>
      </c>
      <c r="E141" s="58" t="str">
        <f>VLOOKUP(D141,all_countries!D:E,2,0)</f>
        <v>🇹🇩</v>
      </c>
      <c r="F141" s="58" t="str">
        <f>VLOOKUP(D141,Сountries!V:Z,2,0)</f>
        <v>Africa</v>
      </c>
      <c r="G141" s="52">
        <v>13149325362</v>
      </c>
      <c r="H141" s="59">
        <f t="shared" si="2"/>
        <v>13.149325362000001</v>
      </c>
      <c r="I141" s="53" t="s">
        <v>1541</v>
      </c>
      <c r="J141" s="54">
        <v>4.1200000000000001E-2</v>
      </c>
      <c r="K141" s="55">
        <v>19319064</v>
      </c>
      <c r="L141" s="52">
        <v>681</v>
      </c>
      <c r="M141" s="54">
        <v>1.2E-4</v>
      </c>
    </row>
    <row r="142" spans="1:13" ht="19" x14ac:dyDescent="0.2">
      <c r="A142" s="50">
        <v>141</v>
      </c>
      <c r="B142" s="50" t="s">
        <v>627</v>
      </c>
      <c r="C142" s="50" t="s">
        <v>541</v>
      </c>
      <c r="D142" s="23" t="s">
        <v>64</v>
      </c>
      <c r="E142" s="58" t="str">
        <f>VLOOKUP(D142,all_countries!D:E,2,0)</f>
        <v>🇲🇼</v>
      </c>
      <c r="F142" s="58" t="str">
        <f>VLOOKUP(D142,Сountries!V:Z,2,0)</f>
        <v>Africa</v>
      </c>
      <c r="G142" s="52">
        <v>12712150082</v>
      </c>
      <c r="H142" s="59">
        <f t="shared" si="2"/>
        <v>12.712150082000001</v>
      </c>
      <c r="I142" s="53" t="s">
        <v>1542</v>
      </c>
      <c r="J142" s="54">
        <v>1.89E-2</v>
      </c>
      <c r="K142" s="55">
        <v>21104482</v>
      </c>
      <c r="L142" s="52">
        <v>602</v>
      </c>
      <c r="M142" s="54">
        <v>1.2E-4</v>
      </c>
    </row>
    <row r="143" spans="1:13" ht="19" x14ac:dyDescent="0.2">
      <c r="A143" s="50">
        <v>142</v>
      </c>
      <c r="B143" s="50" t="s">
        <v>627</v>
      </c>
      <c r="C143" s="50" t="s">
        <v>1260</v>
      </c>
      <c r="D143" s="23" t="s">
        <v>138</v>
      </c>
      <c r="E143" s="58" t="str">
        <f>VLOOKUP(D143,all_countries!D:E,2,0)</f>
        <v>🇳🇦</v>
      </c>
      <c r="F143" s="58" t="str">
        <f>VLOOKUP(D143,Сountries!V:Z,2,0)</f>
        <v>Africa</v>
      </c>
      <c r="G143" s="52">
        <v>12351025067</v>
      </c>
      <c r="H143" s="59">
        <f t="shared" si="2"/>
        <v>12.351025067</v>
      </c>
      <c r="I143" s="53" t="s">
        <v>1543</v>
      </c>
      <c r="J143" s="54">
        <v>4.1599999999999998E-2</v>
      </c>
      <c r="K143" s="55">
        <v>2963095</v>
      </c>
      <c r="L143" s="52">
        <v>4168</v>
      </c>
      <c r="M143" s="54">
        <v>1.2E-4</v>
      </c>
    </row>
    <row r="144" spans="1:13" ht="19" x14ac:dyDescent="0.2">
      <c r="A144" s="50">
        <v>143</v>
      </c>
      <c r="B144" s="50" t="s">
        <v>627</v>
      </c>
      <c r="C144" s="50" t="s">
        <v>1272</v>
      </c>
      <c r="D144" s="23" t="s">
        <v>150</v>
      </c>
      <c r="E144" s="58" t="str">
        <f>VLOOKUP(D144,all_countries!D:E,2,0)</f>
        <v>🇬🇶</v>
      </c>
      <c r="F144" s="58" t="str">
        <f>VLOOKUP(D144,Сountries!V:Z,2,0)</f>
        <v>Africa</v>
      </c>
      <c r="G144" s="52">
        <v>12337550584</v>
      </c>
      <c r="H144" s="59">
        <f t="shared" si="2"/>
        <v>12.337550584000001</v>
      </c>
      <c r="I144" s="53" t="s">
        <v>1544</v>
      </c>
      <c r="J144" s="53" t="s">
        <v>1545</v>
      </c>
      <c r="K144" s="55">
        <v>1847549</v>
      </c>
      <c r="L144" s="52">
        <v>6678</v>
      </c>
      <c r="M144" s="54">
        <v>1.2E-4</v>
      </c>
    </row>
    <row r="145" spans="1:13" ht="19" x14ac:dyDescent="0.2">
      <c r="A145" s="50">
        <v>144</v>
      </c>
      <c r="B145" s="50" t="s">
        <v>624</v>
      </c>
      <c r="C145" s="50" t="s">
        <v>587</v>
      </c>
      <c r="D145" s="23" t="s">
        <v>91</v>
      </c>
      <c r="E145" s="58" t="str">
        <f>VLOOKUP(D145,all_countries!D:E,2,0)</f>
        <v>🇹🇯</v>
      </c>
      <c r="F145" s="58" t="str">
        <f>VLOOKUP(D145,Сountries!V:Z,2,0)</f>
        <v>Asia</v>
      </c>
      <c r="G145" s="52">
        <v>12060602009</v>
      </c>
      <c r="H145" s="59">
        <f t="shared" si="2"/>
        <v>12.060602009</v>
      </c>
      <c r="I145" s="53" t="s">
        <v>1546</v>
      </c>
      <c r="J145" s="54">
        <v>8.3000000000000004E-2</v>
      </c>
      <c r="K145" s="55">
        <v>10389799</v>
      </c>
      <c r="L145" s="52">
        <v>1161</v>
      </c>
      <c r="M145" s="54">
        <v>1.1E-4</v>
      </c>
    </row>
    <row r="146" spans="1:13" ht="19" x14ac:dyDescent="0.2">
      <c r="A146" s="50">
        <v>145</v>
      </c>
      <c r="B146" s="50" t="s">
        <v>627</v>
      </c>
      <c r="C146" s="50" t="s">
        <v>546</v>
      </c>
      <c r="D146" s="23" t="s">
        <v>125</v>
      </c>
      <c r="E146" s="58" t="str">
        <f>VLOOKUP(D146,all_countries!D:E,2,0)</f>
        <v>🇲🇷</v>
      </c>
      <c r="F146" s="58" t="str">
        <f>VLOOKUP(D146,Сountries!V:Z,2,0)</f>
        <v>Africa</v>
      </c>
      <c r="G146" s="52">
        <v>10651709411</v>
      </c>
      <c r="H146" s="59">
        <f t="shared" si="2"/>
        <v>10.651709411000001</v>
      </c>
      <c r="I146" s="53" t="s">
        <v>1547</v>
      </c>
      <c r="J146" s="54">
        <v>6.5100000000000005E-2</v>
      </c>
      <c r="K146" s="55">
        <v>5022441</v>
      </c>
      <c r="L146" s="52">
        <v>2121</v>
      </c>
      <c r="M146" s="54">
        <v>1E-4</v>
      </c>
    </row>
    <row r="147" spans="1:13" ht="19" x14ac:dyDescent="0.2">
      <c r="A147" s="50">
        <v>146</v>
      </c>
      <c r="B147" s="50" t="s">
        <v>627</v>
      </c>
      <c r="C147" s="50" t="s">
        <v>594</v>
      </c>
      <c r="D147" s="23" t="s">
        <v>98</v>
      </c>
      <c r="E147" s="58" t="str">
        <f>VLOOKUP(D147,all_countries!D:E,2,0)</f>
        <v>🇹🇬</v>
      </c>
      <c r="F147" s="58" t="str">
        <f>VLOOKUP(D147,Сountries!V:Z,2,0)</f>
        <v>Africa</v>
      </c>
      <c r="G147" s="52">
        <v>9171261838</v>
      </c>
      <c r="H147" s="59">
        <f t="shared" si="2"/>
        <v>9.1712618379999995</v>
      </c>
      <c r="I147" s="53" t="s">
        <v>1548</v>
      </c>
      <c r="J147" s="54">
        <v>6.4100000000000004E-2</v>
      </c>
      <c r="K147" s="55">
        <v>9304337</v>
      </c>
      <c r="L147" s="52">
        <v>986</v>
      </c>
      <c r="M147" s="54">
        <v>8.6000000000000003E-5</v>
      </c>
    </row>
    <row r="148" spans="1:13" ht="19" x14ac:dyDescent="0.2">
      <c r="A148" s="50">
        <v>147</v>
      </c>
      <c r="B148" s="50" t="s">
        <v>626</v>
      </c>
      <c r="C148" s="50" t="s">
        <v>1289</v>
      </c>
      <c r="D148" s="23" t="s">
        <v>168</v>
      </c>
      <c r="E148" s="58" t="str">
        <f>VLOOKUP(D148,all_countries!D:E,2,0)</f>
        <v>🇲🇪</v>
      </c>
      <c r="F148" s="58" t="str">
        <f>VLOOKUP(D148,Сountries!V:Z,2,0)</f>
        <v>Europe</v>
      </c>
      <c r="G148" s="52">
        <v>7530593375</v>
      </c>
      <c r="H148" s="59">
        <f t="shared" si="2"/>
        <v>7.5305933749999996</v>
      </c>
      <c r="I148" s="53" t="s">
        <v>1549</v>
      </c>
      <c r="J148" s="54">
        <v>6.3399999999999998E-2</v>
      </c>
      <c r="K148" s="55">
        <v>633552</v>
      </c>
      <c r="L148" s="52">
        <v>11886</v>
      </c>
      <c r="M148" s="54">
        <v>7.1000000000000005E-5</v>
      </c>
    </row>
    <row r="149" spans="1:13" ht="19" x14ac:dyDescent="0.2">
      <c r="A149" s="50">
        <v>148</v>
      </c>
      <c r="B149" s="50" t="s">
        <v>628</v>
      </c>
      <c r="C149" s="50" t="s">
        <v>1296</v>
      </c>
      <c r="D149" s="23" t="s">
        <v>177</v>
      </c>
      <c r="E149" s="58" t="str">
        <f>VLOOKUP(D149,all_countries!D:E,2,0)</f>
        <v>🇧🇧</v>
      </c>
      <c r="F149" s="58" t="str">
        <f>VLOOKUP(D149,Сountries!V:Z,2,0)</f>
        <v>Oceania</v>
      </c>
      <c r="G149" s="52">
        <v>6720733200</v>
      </c>
      <c r="H149" s="59">
        <f t="shared" si="2"/>
        <v>6.7207331999999997</v>
      </c>
      <c r="I149" s="53" t="s">
        <v>1550</v>
      </c>
      <c r="J149" s="54">
        <v>4.0899999999999999E-2</v>
      </c>
      <c r="K149" s="55">
        <v>282336</v>
      </c>
      <c r="L149" s="52">
        <v>23804</v>
      </c>
      <c r="M149" s="54">
        <v>6.3E-5</v>
      </c>
    </row>
    <row r="150" spans="1:13" ht="19" x14ac:dyDescent="0.2">
      <c r="A150" s="50">
        <v>149</v>
      </c>
      <c r="B150" s="50" t="s">
        <v>624</v>
      </c>
      <c r="C150" s="50" t="s">
        <v>545</v>
      </c>
      <c r="D150" s="23" t="s">
        <v>170</v>
      </c>
      <c r="E150" s="58" t="str">
        <f>VLOOKUP(D150,all_countries!D:E,2,0)</f>
        <v>🇲🇻</v>
      </c>
      <c r="F150" s="58" t="str">
        <f>VLOOKUP(D150,Сountries!V:Z,2,0)</f>
        <v>Asia</v>
      </c>
      <c r="G150" s="52">
        <v>6590894302</v>
      </c>
      <c r="H150" s="59">
        <f t="shared" si="2"/>
        <v>6.5908943019999997</v>
      </c>
      <c r="I150" s="53" t="s">
        <v>1551</v>
      </c>
      <c r="J150" s="54">
        <v>4.7300000000000002E-2</v>
      </c>
      <c r="K150" s="55">
        <v>525994</v>
      </c>
      <c r="L150" s="52">
        <v>12530</v>
      </c>
      <c r="M150" s="54">
        <v>6.2000000000000003E-5</v>
      </c>
    </row>
    <row r="151" spans="1:13" ht="19" x14ac:dyDescent="0.2">
      <c r="A151" s="50">
        <v>150</v>
      </c>
      <c r="B151" s="50" t="s">
        <v>627</v>
      </c>
      <c r="C151" s="50" t="s">
        <v>600</v>
      </c>
      <c r="D151" s="23" t="s">
        <v>104</v>
      </c>
      <c r="E151" s="58" t="str">
        <f>VLOOKUP(D151,all_countries!D:E,2,0)</f>
        <v>🇸🇱</v>
      </c>
      <c r="F151" s="58" t="str">
        <f>VLOOKUP(D151,Сountries!V:Z,2,0)</f>
        <v>Africa</v>
      </c>
      <c r="G151" s="52">
        <v>6411869546</v>
      </c>
      <c r="H151" s="59">
        <f t="shared" si="2"/>
        <v>6.4118695460000001</v>
      </c>
      <c r="I151" s="53" t="s">
        <v>1552</v>
      </c>
      <c r="J151" s="54">
        <v>5.7099999999999998E-2</v>
      </c>
      <c r="K151" s="55">
        <v>8460512</v>
      </c>
      <c r="L151" s="52">
        <v>758</v>
      </c>
      <c r="M151" s="54">
        <v>6.0000000000000002E-5</v>
      </c>
    </row>
    <row r="152" spans="1:13" ht="19" x14ac:dyDescent="0.2">
      <c r="A152" s="50">
        <v>151</v>
      </c>
      <c r="B152" s="50" t="s">
        <v>628</v>
      </c>
      <c r="C152" s="50" t="s">
        <v>1282</v>
      </c>
      <c r="D152" s="23" t="s">
        <v>161</v>
      </c>
      <c r="E152" s="58" t="str">
        <f>VLOOKUP(D152,all_countries!D:E,2,0)</f>
        <v>🇫🇯</v>
      </c>
      <c r="F152" s="58" t="str">
        <f>VLOOKUP(D152,Сountries!V:Z,2,0)</f>
        <v>Oceania</v>
      </c>
      <c r="G152" s="52">
        <v>5442046565</v>
      </c>
      <c r="H152" s="59">
        <f t="shared" si="2"/>
        <v>5.4420465650000001</v>
      </c>
      <c r="I152" s="53" t="s">
        <v>1553</v>
      </c>
      <c r="J152" s="54">
        <v>7.5200000000000003E-2</v>
      </c>
      <c r="K152" s="55">
        <v>924145</v>
      </c>
      <c r="L152" s="52">
        <v>5889</v>
      </c>
      <c r="M152" s="54">
        <v>5.1E-5</v>
      </c>
    </row>
    <row r="153" spans="1:13" ht="19" x14ac:dyDescent="0.2">
      <c r="A153" s="50">
        <v>152</v>
      </c>
      <c r="B153" s="50" t="s">
        <v>627</v>
      </c>
      <c r="C153" s="50" t="s">
        <v>1280</v>
      </c>
      <c r="D153" s="23" t="s">
        <v>159</v>
      </c>
      <c r="E153" s="58" t="str">
        <f>VLOOKUP(D153,all_countries!D:E,2,0)</f>
        <v>🇸🇿</v>
      </c>
      <c r="F153" s="58" t="str">
        <f>VLOOKUP(D153,Сountries!V:Z,2,0)</f>
        <v>Africa</v>
      </c>
      <c r="G153" s="52">
        <v>4442875788</v>
      </c>
      <c r="H153" s="59">
        <f t="shared" si="2"/>
        <v>4.4428757880000003</v>
      </c>
      <c r="I153" s="53" t="s">
        <v>1554</v>
      </c>
      <c r="J153" s="54">
        <v>5.0099999999999999E-2</v>
      </c>
      <c r="K153" s="55">
        <v>1230506</v>
      </c>
      <c r="L153" s="52">
        <v>3611</v>
      </c>
      <c r="M153" s="54">
        <v>4.1999999999999998E-5</v>
      </c>
    </row>
    <row r="154" spans="1:13" ht="19" x14ac:dyDescent="0.2">
      <c r="A154" s="50">
        <v>153</v>
      </c>
      <c r="B154" s="50" t="s">
        <v>627</v>
      </c>
      <c r="C154" s="50" t="s">
        <v>1243</v>
      </c>
      <c r="D154" s="23" t="s">
        <v>118</v>
      </c>
      <c r="E154" s="58" t="str">
        <f>VLOOKUP(D154,all_countries!D:E,2,0)</f>
        <v>🇱🇷</v>
      </c>
      <c r="F154" s="58" t="str">
        <f>VLOOKUP(D154,Сountries!V:Z,2,0)</f>
        <v>Africa</v>
      </c>
      <c r="G154" s="52">
        <v>4240000000</v>
      </c>
      <c r="H154" s="59">
        <f t="shared" si="2"/>
        <v>4.24</v>
      </c>
      <c r="I154" s="53" t="s">
        <v>1555</v>
      </c>
      <c r="J154" s="54">
        <v>4.6800000000000001E-2</v>
      </c>
      <c r="K154" s="55">
        <v>5493031</v>
      </c>
      <c r="L154" s="52">
        <v>772</v>
      </c>
      <c r="M154" s="54">
        <v>4.0000000000000003E-5</v>
      </c>
    </row>
    <row r="155" spans="1:13" ht="19" x14ac:dyDescent="0.2">
      <c r="A155" s="50">
        <v>154</v>
      </c>
      <c r="B155" s="50" t="s">
        <v>626</v>
      </c>
      <c r="C155" s="50" t="s">
        <v>1307</v>
      </c>
      <c r="D155" s="23" t="s">
        <v>188</v>
      </c>
      <c r="E155" s="58" t="str">
        <f>VLOOKUP(D155,all_countries!D:E,2,0)</f>
        <v>🇦🇩</v>
      </c>
      <c r="F155" s="58" t="str">
        <f>VLOOKUP(D155,Сountries!V:Z,2,0)</f>
        <v>Europe</v>
      </c>
      <c r="G155" s="52">
        <v>3785067332</v>
      </c>
      <c r="H155" s="59">
        <f t="shared" si="2"/>
        <v>3.7850673320000001</v>
      </c>
      <c r="I155" s="53" t="s">
        <v>1556</v>
      </c>
      <c r="J155" s="54">
        <v>2.58E-2</v>
      </c>
      <c r="K155" s="55">
        <v>80856</v>
      </c>
      <c r="L155" s="52">
        <v>46812</v>
      </c>
      <c r="M155" s="54">
        <v>3.6000000000000001E-5</v>
      </c>
    </row>
    <row r="156" spans="1:13" ht="19" x14ac:dyDescent="0.2">
      <c r="A156" s="50">
        <v>155</v>
      </c>
      <c r="B156" s="50" t="s">
        <v>625</v>
      </c>
      <c r="C156" s="50" t="s">
        <v>1366</v>
      </c>
      <c r="D156" s="23" t="s">
        <v>413</v>
      </c>
      <c r="E156" s="58" t="str">
        <f>VLOOKUP(D156,all_countries!D:E,2,0)</f>
        <v>🇦🇼</v>
      </c>
      <c r="F156" s="58" t="str">
        <f>VLOOKUP(D156,Сountries!V:Z,2,0)</f>
        <v>America</v>
      </c>
      <c r="G156" s="52">
        <v>3648573136</v>
      </c>
      <c r="H156" s="59">
        <f t="shared" si="2"/>
        <v>3.648573136</v>
      </c>
      <c r="I156" s="53" t="s">
        <v>1557</v>
      </c>
      <c r="J156" s="54">
        <v>4.2599999999999999E-2</v>
      </c>
      <c r="K156" s="55">
        <v>107939</v>
      </c>
      <c r="L156" s="52">
        <v>33802</v>
      </c>
      <c r="M156" s="54">
        <v>3.4E-5</v>
      </c>
    </row>
    <row r="157" spans="1:13" ht="19" x14ac:dyDescent="0.2">
      <c r="A157" s="50">
        <v>156</v>
      </c>
      <c r="B157" s="50" t="s">
        <v>625</v>
      </c>
      <c r="C157" s="50" t="s">
        <v>1288</v>
      </c>
      <c r="D157" s="23" t="s">
        <v>167</v>
      </c>
      <c r="E157" s="58" t="str">
        <f>VLOOKUP(D157,all_countries!D:E,2,0)</f>
        <v>🇸🇷</v>
      </c>
      <c r="F157" s="58" t="str">
        <f>VLOOKUP(D157,Сountries!V:Z,2,0)</f>
        <v>America</v>
      </c>
      <c r="G157" s="52">
        <v>3455146281</v>
      </c>
      <c r="H157" s="59">
        <f t="shared" si="2"/>
        <v>3.4551462810000002</v>
      </c>
      <c r="I157" s="53" t="s">
        <v>1558</v>
      </c>
      <c r="J157" s="54">
        <v>2.5399999999999999E-2</v>
      </c>
      <c r="K157" s="55">
        <v>628886</v>
      </c>
      <c r="L157" s="52">
        <v>5494</v>
      </c>
      <c r="M157" s="54">
        <v>3.3000000000000003E-5</v>
      </c>
    </row>
    <row r="158" spans="1:13" ht="19" x14ac:dyDescent="0.2">
      <c r="A158" s="50">
        <v>157</v>
      </c>
      <c r="B158" s="50" t="s">
        <v>625</v>
      </c>
      <c r="C158" s="50" t="s">
        <v>1292</v>
      </c>
      <c r="D158" s="23" t="s">
        <v>173</v>
      </c>
      <c r="E158" s="58" t="str">
        <f>VLOOKUP(D158,all_countries!D:E,2,0)</f>
        <v>🇧🇿</v>
      </c>
      <c r="F158" s="58" t="str">
        <f>VLOOKUP(D158,Сountries!V:Z,2,0)</f>
        <v>America</v>
      </c>
      <c r="G158" s="52">
        <v>3066850000</v>
      </c>
      <c r="H158" s="59">
        <f t="shared" si="2"/>
        <v>3.0668500000000001</v>
      </c>
      <c r="I158" s="53" t="s">
        <v>1559</v>
      </c>
      <c r="J158" s="54">
        <v>1.15E-2</v>
      </c>
      <c r="K158" s="55">
        <v>411106</v>
      </c>
      <c r="L158" s="52">
        <v>7460</v>
      </c>
      <c r="M158" s="54">
        <v>2.9E-5</v>
      </c>
    </row>
    <row r="159" spans="1:13" ht="19" x14ac:dyDescent="0.2">
      <c r="A159" s="50">
        <v>158</v>
      </c>
      <c r="B159" s="50" t="s">
        <v>627</v>
      </c>
      <c r="C159" s="50" t="s">
        <v>576</v>
      </c>
      <c r="D159" s="23" t="s">
        <v>80</v>
      </c>
      <c r="E159" s="58" t="str">
        <f>VLOOKUP(D159,all_countries!D:E,2,0)</f>
        <v>🇧🇮</v>
      </c>
      <c r="F159" s="58" t="str">
        <f>VLOOKUP(D159,Сountries!V:Z,2,0)</f>
        <v>Africa</v>
      </c>
      <c r="G159" s="52">
        <v>2642161669</v>
      </c>
      <c r="H159" s="59">
        <f t="shared" si="2"/>
        <v>2.642161669</v>
      </c>
      <c r="I159" s="53" t="s">
        <v>1560</v>
      </c>
      <c r="J159" s="54">
        <v>2.7E-2</v>
      </c>
      <c r="K159" s="55">
        <v>13689450</v>
      </c>
      <c r="L159" s="52">
        <v>193</v>
      </c>
      <c r="M159" s="54">
        <v>2.5000000000000001E-5</v>
      </c>
    </row>
    <row r="160" spans="1:13" ht="19" x14ac:dyDescent="0.2">
      <c r="A160" s="50">
        <v>159</v>
      </c>
      <c r="B160" s="50" t="s">
        <v>627</v>
      </c>
      <c r="C160" s="50" t="s">
        <v>1246</v>
      </c>
      <c r="D160" s="23" t="s">
        <v>122</v>
      </c>
      <c r="E160" s="58" t="str">
        <f>VLOOKUP(D160,all_countries!D:E,2,0)</f>
        <v>🇨🇫</v>
      </c>
      <c r="F160" s="58" t="str">
        <f>VLOOKUP(D160,Сountries!V:Z,2,0)</f>
        <v>Africa</v>
      </c>
      <c r="G160" s="52">
        <v>2555492085</v>
      </c>
      <c r="H160" s="59">
        <f t="shared" si="2"/>
        <v>2.555492085</v>
      </c>
      <c r="I160" s="53" t="s">
        <v>1561</v>
      </c>
      <c r="J160" s="54">
        <v>8.6999999999999994E-3</v>
      </c>
      <c r="K160" s="55">
        <v>5152421</v>
      </c>
      <c r="L160" s="52">
        <v>496</v>
      </c>
      <c r="M160" s="54">
        <v>2.4000000000000001E-5</v>
      </c>
    </row>
    <row r="161" spans="1:13" ht="19" x14ac:dyDescent="0.2">
      <c r="A161" s="50">
        <v>160</v>
      </c>
      <c r="B161" s="50" t="s">
        <v>627</v>
      </c>
      <c r="C161" s="50" t="s">
        <v>1290</v>
      </c>
      <c r="D161" s="23" t="s">
        <v>171</v>
      </c>
      <c r="E161" s="58" t="str">
        <f>VLOOKUP(D161,all_countries!D:E,2,0)</f>
        <v>🇨🇻</v>
      </c>
      <c r="F161" s="58" t="str">
        <f>VLOOKUP(D161,Сountries!V:Z,2,0)</f>
        <v>Africa</v>
      </c>
      <c r="G161" s="52">
        <v>2533819406</v>
      </c>
      <c r="H161" s="59">
        <f t="shared" si="2"/>
        <v>2.5338194060000001</v>
      </c>
      <c r="I161" s="53" t="s">
        <v>1562</v>
      </c>
      <c r="J161" s="54">
        <v>5.4800000000000001E-2</v>
      </c>
      <c r="K161" s="55">
        <v>522331</v>
      </c>
      <c r="L161" s="52">
        <v>4851</v>
      </c>
      <c r="M161" s="54">
        <v>2.4000000000000001E-5</v>
      </c>
    </row>
    <row r="162" spans="1:13" ht="19" x14ac:dyDescent="0.2">
      <c r="A162" s="50">
        <v>161</v>
      </c>
      <c r="B162" s="50" t="s">
        <v>625</v>
      </c>
      <c r="C162" s="50" t="s">
        <v>1299</v>
      </c>
      <c r="D162" s="23" t="s">
        <v>180</v>
      </c>
      <c r="E162" s="58" t="str">
        <f>VLOOKUP(D162,all_countries!D:E,2,0)</f>
        <v>🇱🇨</v>
      </c>
      <c r="F162" s="58" t="str">
        <f>VLOOKUP(D162,Сountries!V:Z,2,0)</f>
        <v>America</v>
      </c>
      <c r="G162" s="52">
        <v>2430148148</v>
      </c>
      <c r="H162" s="59">
        <f t="shared" si="2"/>
        <v>2.4301481479999998</v>
      </c>
      <c r="I162" s="53" t="s">
        <v>1563</v>
      </c>
      <c r="J162" s="54">
        <v>2.2100000000000002E-2</v>
      </c>
      <c r="K162" s="55">
        <v>179285</v>
      </c>
      <c r="L162" s="52">
        <v>13555</v>
      </c>
      <c r="M162" s="54">
        <v>2.3E-5</v>
      </c>
    </row>
    <row r="163" spans="1:13" ht="19" x14ac:dyDescent="0.2">
      <c r="A163" s="50">
        <v>162</v>
      </c>
      <c r="B163" s="50" t="s">
        <v>627</v>
      </c>
      <c r="C163" s="50" t="s">
        <v>1265</v>
      </c>
      <c r="D163" s="23" t="s">
        <v>143</v>
      </c>
      <c r="E163" s="58" t="str">
        <f>VLOOKUP(D163,all_countries!D:E,2,0)</f>
        <v>🇬🇲</v>
      </c>
      <c r="F163" s="58" t="str">
        <f>VLOOKUP(D163,Сountries!V:Z,2,0)</f>
        <v>Africa</v>
      </c>
      <c r="G163" s="52">
        <v>2396111022</v>
      </c>
      <c r="H163" s="59">
        <f t="shared" si="2"/>
        <v>2.3961110219999999</v>
      </c>
      <c r="I163" s="53" t="s">
        <v>1564</v>
      </c>
      <c r="J163" s="54">
        <v>4.8000000000000001E-2</v>
      </c>
      <c r="K163" s="55">
        <v>2697845</v>
      </c>
      <c r="L163" s="52">
        <v>888</v>
      </c>
      <c r="M163" s="54">
        <v>2.3E-5</v>
      </c>
    </row>
    <row r="164" spans="1:13" ht="19" x14ac:dyDescent="0.2">
      <c r="A164" s="50">
        <v>163</v>
      </c>
      <c r="B164" s="50" t="s">
        <v>627</v>
      </c>
      <c r="C164" s="50" t="s">
        <v>1301</v>
      </c>
      <c r="D164" s="23" t="s">
        <v>182</v>
      </c>
      <c r="E164" s="58" t="str">
        <f>VLOOKUP(D164,all_countries!D:E,2,0)</f>
        <v>🇸🇨</v>
      </c>
      <c r="F164" s="58" t="str">
        <f>VLOOKUP(D164,Сountries!V:Z,2,0)</f>
        <v>Africa</v>
      </c>
      <c r="G164" s="52">
        <v>2141450171</v>
      </c>
      <c r="H164" s="59">
        <f t="shared" si="2"/>
        <v>2.1414501709999998</v>
      </c>
      <c r="I164" s="53" t="s">
        <v>1565</v>
      </c>
      <c r="J164" s="54">
        <v>3.1600000000000003E-2</v>
      </c>
      <c r="K164" s="55">
        <v>127951</v>
      </c>
      <c r="L164" s="52">
        <v>16736</v>
      </c>
      <c r="M164" s="54">
        <v>2.0000000000000002E-5</v>
      </c>
    </row>
    <row r="165" spans="1:13" ht="19" x14ac:dyDescent="0.2">
      <c r="A165" s="50">
        <v>164</v>
      </c>
      <c r="B165" s="50" t="s">
        <v>627</v>
      </c>
      <c r="C165" s="50" t="s">
        <v>1269</v>
      </c>
      <c r="D165" s="23" t="s">
        <v>147</v>
      </c>
      <c r="E165" s="58" t="str">
        <f>VLOOKUP(D165,all_countries!D:E,2,0)</f>
        <v>🇱🇸</v>
      </c>
      <c r="F165" s="58" t="str">
        <f>VLOOKUP(D165,Сountries!V:Z,2,0)</f>
        <v>Africa</v>
      </c>
      <c r="G165" s="52">
        <v>2117962451</v>
      </c>
      <c r="H165" s="59">
        <f t="shared" si="2"/>
        <v>2.1179624509999999</v>
      </c>
      <c r="I165" s="53" t="s">
        <v>1566</v>
      </c>
      <c r="J165" s="54">
        <v>1.83E-2</v>
      </c>
      <c r="K165" s="55">
        <v>2311472</v>
      </c>
      <c r="L165" s="52">
        <v>916</v>
      </c>
      <c r="M165" s="54">
        <v>2.0000000000000002E-5</v>
      </c>
    </row>
    <row r="166" spans="1:13" ht="19" x14ac:dyDescent="0.2">
      <c r="A166" s="50">
        <v>165</v>
      </c>
      <c r="B166" s="50" t="s">
        <v>624</v>
      </c>
      <c r="C166" s="50" t="s">
        <v>1277</v>
      </c>
      <c r="D166" s="23" t="s">
        <v>155</v>
      </c>
      <c r="E166" s="58" t="str">
        <f>VLOOKUP(D166,all_countries!D:E,2,0)</f>
        <v>🇹🇱</v>
      </c>
      <c r="F166" s="58" t="str">
        <f>VLOOKUP(D166,Сountries!V:Z,2,0)</f>
        <v>Asia</v>
      </c>
      <c r="G166" s="52">
        <v>2079916900</v>
      </c>
      <c r="H166" s="59">
        <f t="shared" si="2"/>
        <v>2.0799169000000002</v>
      </c>
      <c r="I166" s="53" t="s">
        <v>1567</v>
      </c>
      <c r="J166" s="53" t="s">
        <v>1568</v>
      </c>
      <c r="K166" s="55">
        <v>1384286</v>
      </c>
      <c r="L166" s="52">
        <v>1503</v>
      </c>
      <c r="M166" s="54">
        <v>2.0000000000000002E-5</v>
      </c>
    </row>
    <row r="167" spans="1:13" ht="19" x14ac:dyDescent="0.2">
      <c r="A167" s="50">
        <v>166</v>
      </c>
      <c r="B167" s="50" t="s">
        <v>627</v>
      </c>
      <c r="C167" s="50" t="s">
        <v>1270</v>
      </c>
      <c r="D167" s="23" t="s">
        <v>148</v>
      </c>
      <c r="E167" s="58" t="str">
        <f>VLOOKUP(D167,all_countries!D:E,2,0)</f>
        <v>🇬🇳</v>
      </c>
      <c r="F167" s="58" t="str">
        <f>VLOOKUP(D167,Сountries!V:Z,2,0)</f>
        <v>Africa</v>
      </c>
      <c r="G167" s="52">
        <v>2048348108</v>
      </c>
      <c r="H167" s="59">
        <f t="shared" si="2"/>
        <v>2.0483481079999999</v>
      </c>
      <c r="I167" s="53" t="s">
        <v>1569</v>
      </c>
      <c r="J167" s="54">
        <v>5.1999999999999998E-2</v>
      </c>
      <c r="K167" s="55">
        <v>2153339</v>
      </c>
      <c r="L167" s="52">
        <v>951</v>
      </c>
      <c r="M167" s="54">
        <v>1.9000000000000001E-5</v>
      </c>
    </row>
    <row r="168" spans="1:13" ht="19" x14ac:dyDescent="0.2">
      <c r="A168" s="50">
        <v>167</v>
      </c>
      <c r="B168" s="50" t="s">
        <v>628</v>
      </c>
      <c r="C168" s="50" t="s">
        <v>1306</v>
      </c>
      <c r="D168" s="23" t="s">
        <v>187</v>
      </c>
      <c r="E168" s="58" t="str">
        <f>VLOOKUP(D168,all_countries!D:E,2,0)</f>
        <v>🇦🇬</v>
      </c>
      <c r="F168" s="58" t="str">
        <f>VLOOKUP(D168,Сountries!V:Z,2,0)</f>
        <v>Oceania</v>
      </c>
      <c r="G168" s="52">
        <v>2033085185</v>
      </c>
      <c r="H168" s="59">
        <f t="shared" si="2"/>
        <v>2.033085185</v>
      </c>
      <c r="I168" s="53" t="s">
        <v>1570</v>
      </c>
      <c r="J168" s="54">
        <v>3.8600000000000002E-2</v>
      </c>
      <c r="K168" s="55">
        <v>93316</v>
      </c>
      <c r="L168" s="52">
        <v>21787</v>
      </c>
      <c r="M168" s="54">
        <v>1.9000000000000001E-5</v>
      </c>
    </row>
    <row r="169" spans="1:13" ht="19" x14ac:dyDescent="0.2">
      <c r="A169" s="50">
        <v>168</v>
      </c>
      <c r="B169" s="50" t="s">
        <v>628</v>
      </c>
      <c r="C169" s="50" t="s">
        <v>1284</v>
      </c>
      <c r="D169" s="23" t="s">
        <v>163</v>
      </c>
      <c r="E169" s="58" t="str">
        <f>VLOOKUP(D169,all_countries!D:E,2,0)</f>
        <v>🇸🇧</v>
      </c>
      <c r="F169" s="58" t="str">
        <f>VLOOKUP(D169,Сountries!V:Z,2,0)</f>
        <v>Oceania</v>
      </c>
      <c r="G169" s="52">
        <v>1633319401</v>
      </c>
      <c r="H169" s="59">
        <f t="shared" si="2"/>
        <v>1.6333194010000001</v>
      </c>
      <c r="I169" s="53" t="s">
        <v>1571</v>
      </c>
      <c r="J169" s="54">
        <v>3.0800000000000001E-2</v>
      </c>
      <c r="K169" s="55">
        <v>800005</v>
      </c>
      <c r="L169" s="52">
        <v>2042</v>
      </c>
      <c r="M169" s="54">
        <v>1.5E-5</v>
      </c>
    </row>
    <row r="170" spans="1:13" ht="19" x14ac:dyDescent="0.2">
      <c r="A170" s="50">
        <v>169</v>
      </c>
      <c r="B170" s="50" t="s">
        <v>627</v>
      </c>
      <c r="C170" s="50" t="s">
        <v>1283</v>
      </c>
      <c r="D170" s="23" t="s">
        <v>162</v>
      </c>
      <c r="E170" s="58" t="str">
        <f>VLOOKUP(D170,all_countries!D:E,2,0)</f>
        <v>🇰🇲</v>
      </c>
      <c r="F170" s="58" t="str">
        <f>VLOOKUP(D170,Сountries!V:Z,2,0)</f>
        <v>Africa</v>
      </c>
      <c r="G170" s="52">
        <v>1352380971</v>
      </c>
      <c r="H170" s="59">
        <f t="shared" si="2"/>
        <v>1.3523809710000001</v>
      </c>
      <c r="I170" s="53" t="s">
        <v>1572</v>
      </c>
      <c r="J170" s="57">
        <v>0.03</v>
      </c>
      <c r="K170" s="55">
        <v>850387</v>
      </c>
      <c r="L170" s="52">
        <v>1590</v>
      </c>
      <c r="M170" s="54">
        <v>1.2999999999999999E-5</v>
      </c>
    </row>
    <row r="171" spans="1:13" ht="19" x14ac:dyDescent="0.2">
      <c r="A171" s="50">
        <v>170</v>
      </c>
      <c r="B171" s="50" t="s">
        <v>628</v>
      </c>
      <c r="C171" s="50" t="s">
        <v>1302</v>
      </c>
      <c r="D171" s="23" t="s">
        <v>183</v>
      </c>
      <c r="E171" s="58" t="str">
        <f>VLOOKUP(D171,all_countries!D:E,2,0)</f>
        <v>🇬🇩</v>
      </c>
      <c r="F171" s="58" t="str">
        <f>VLOOKUP(D171,Сountries!V:Z,2,0)</f>
        <v>Oceania</v>
      </c>
      <c r="G171" s="52">
        <v>1316733333</v>
      </c>
      <c r="H171" s="59">
        <f t="shared" si="2"/>
        <v>1.316733333</v>
      </c>
      <c r="I171" s="53" t="s">
        <v>1573</v>
      </c>
      <c r="J171" s="54">
        <v>3.5700000000000003E-2</v>
      </c>
      <c r="K171" s="55">
        <v>117081</v>
      </c>
      <c r="L171" s="52">
        <v>11246</v>
      </c>
      <c r="M171" s="54">
        <v>1.2E-5</v>
      </c>
    </row>
    <row r="172" spans="1:13" ht="19" x14ac:dyDescent="0.2">
      <c r="A172" s="50">
        <v>171</v>
      </c>
      <c r="B172" s="50" t="s">
        <v>628</v>
      </c>
      <c r="C172" s="50" t="s">
        <v>1295</v>
      </c>
      <c r="D172" s="23" t="s">
        <v>176</v>
      </c>
      <c r="E172" s="58" t="str">
        <f>VLOOKUP(D172,all_countries!D:E,2,0)</f>
        <v>🇻🇺</v>
      </c>
      <c r="F172" s="58" t="str">
        <f>VLOOKUP(D172,Сountries!V:Z,2,0)</f>
        <v>Oceania</v>
      </c>
      <c r="G172" s="52">
        <v>1126313359</v>
      </c>
      <c r="H172" s="59">
        <f t="shared" si="2"/>
        <v>1.1263133590000001</v>
      </c>
      <c r="I172" s="53" t="s">
        <v>1574</v>
      </c>
      <c r="J172" s="54">
        <v>2.2100000000000002E-2</v>
      </c>
      <c r="K172" s="55">
        <v>320409</v>
      </c>
      <c r="L172" s="52">
        <v>3515</v>
      </c>
      <c r="M172" s="54">
        <v>1.1E-5</v>
      </c>
    </row>
    <row r="173" spans="1:13" ht="19" x14ac:dyDescent="0.2">
      <c r="A173" s="50">
        <v>172</v>
      </c>
      <c r="B173" s="50" t="s">
        <v>628</v>
      </c>
      <c r="C173" s="50" t="s">
        <v>1305</v>
      </c>
      <c r="D173" s="23" t="s">
        <v>186</v>
      </c>
      <c r="E173" s="58" t="str">
        <f>VLOOKUP(D173,all_countries!D:E,2,0)</f>
        <v>🇻🇨</v>
      </c>
      <c r="F173" s="58" t="str">
        <f>VLOOKUP(D173,Сountries!V:Z,2,0)</f>
        <v>Oceania</v>
      </c>
      <c r="G173" s="52">
        <v>1065962963</v>
      </c>
      <c r="H173" s="59">
        <f t="shared" si="2"/>
        <v>1.065962963</v>
      </c>
      <c r="I173" s="53" t="s">
        <v>1575</v>
      </c>
      <c r="J173" s="54">
        <v>6.0199999999999997E-2</v>
      </c>
      <c r="K173" s="55">
        <v>101323</v>
      </c>
      <c r="L173" s="52">
        <v>10520</v>
      </c>
      <c r="M173" s="54">
        <v>1.0000000000000001E-5</v>
      </c>
    </row>
    <row r="174" spans="1:13" ht="19" x14ac:dyDescent="0.2">
      <c r="A174" s="50">
        <v>173</v>
      </c>
      <c r="B174" s="50" t="s">
        <v>628</v>
      </c>
      <c r="C174" s="50" t="s">
        <v>1308</v>
      </c>
      <c r="D174" s="23" t="s">
        <v>190</v>
      </c>
      <c r="E174" s="58" t="str">
        <f>VLOOKUP(D174,all_countries!D:E,2,0)</f>
        <v>🇰🇳</v>
      </c>
      <c r="F174" s="58" t="str">
        <f>VLOOKUP(D174,Сountries!V:Z,2,0)</f>
        <v>Oceania</v>
      </c>
      <c r="G174" s="52">
        <v>1055499778</v>
      </c>
      <c r="H174" s="59">
        <f t="shared" si="2"/>
        <v>1.0554997779999999</v>
      </c>
      <c r="I174" s="53" t="s">
        <v>1576</v>
      </c>
      <c r="J174" s="54">
        <v>2.2800000000000001E-2</v>
      </c>
      <c r="K174" s="55">
        <v>46758</v>
      </c>
      <c r="L174" s="52">
        <v>22574</v>
      </c>
      <c r="M174" s="54">
        <v>9.9000000000000001E-6</v>
      </c>
    </row>
    <row r="175" spans="1:13" ht="19" x14ac:dyDescent="0.2">
      <c r="A175" s="50">
        <v>174</v>
      </c>
      <c r="B175" s="50" t="s">
        <v>628</v>
      </c>
      <c r="C175" s="50" t="s">
        <v>1298</v>
      </c>
      <c r="D175" s="23" t="s">
        <v>179</v>
      </c>
      <c r="E175" s="58" t="str">
        <f>VLOOKUP(D175,all_countries!D:E,2,0)</f>
        <v>🇼🇸</v>
      </c>
      <c r="F175" s="58" t="str">
        <f>VLOOKUP(D175,Сountries!V:Z,2,0)</f>
        <v>Oceania</v>
      </c>
      <c r="G175" s="52">
        <v>938189444</v>
      </c>
      <c r="H175" s="59">
        <f t="shared" si="2"/>
        <v>0.93818944400000004</v>
      </c>
      <c r="I175" s="53" t="s">
        <v>1577</v>
      </c>
      <c r="J175" s="54">
        <v>8.5800000000000001E-2</v>
      </c>
      <c r="K175" s="55">
        <v>216663</v>
      </c>
      <c r="L175" s="52">
        <v>4330</v>
      </c>
      <c r="M175" s="54">
        <v>8.8000000000000004E-6</v>
      </c>
    </row>
    <row r="176" spans="1:13" ht="19" x14ac:dyDescent="0.2">
      <c r="A176" s="50">
        <v>175</v>
      </c>
      <c r="B176" s="50" t="s">
        <v>627</v>
      </c>
      <c r="C176" s="50" t="s">
        <v>1297</v>
      </c>
      <c r="D176" s="23" t="s">
        <v>178</v>
      </c>
      <c r="E176" s="58" t="str">
        <f>VLOOKUP(D176,all_countries!D:E,2,0)</f>
        <v>🇸🇹</v>
      </c>
      <c r="F176" s="58" t="str">
        <f>VLOOKUP(D176,Сountries!V:Z,2,0)</f>
        <v>Africa</v>
      </c>
      <c r="G176" s="52">
        <v>678976265</v>
      </c>
      <c r="H176" s="59">
        <f t="shared" si="2"/>
        <v>0.67897626499999997</v>
      </c>
      <c r="I176" s="53" t="s">
        <v>1578</v>
      </c>
      <c r="J176" s="54">
        <v>3.7000000000000002E-3</v>
      </c>
      <c r="K176" s="55">
        <v>230871</v>
      </c>
      <c r="L176" s="52">
        <v>2941</v>
      </c>
      <c r="M176" s="54">
        <v>6.3999999999999997E-6</v>
      </c>
    </row>
    <row r="177" spans="1:13" ht="19" x14ac:dyDescent="0.2">
      <c r="A177" s="50">
        <v>176</v>
      </c>
      <c r="B177" s="50" t="s">
        <v>628</v>
      </c>
      <c r="C177" s="50" t="s">
        <v>584</v>
      </c>
      <c r="D177" s="23" t="s">
        <v>189</v>
      </c>
      <c r="E177" s="58" t="str">
        <f>VLOOKUP(D177,all_countries!D:E,2,0)</f>
        <v>🇩🇲</v>
      </c>
      <c r="F177" s="58" t="str">
        <f>VLOOKUP(D177,Сountries!V:Z,2,0)</f>
        <v>Oceania</v>
      </c>
      <c r="G177" s="52">
        <v>653992593</v>
      </c>
      <c r="H177" s="59">
        <f t="shared" si="2"/>
        <v>0.65399259300000001</v>
      </c>
      <c r="I177" s="53" t="s">
        <v>1579</v>
      </c>
      <c r="J177" s="54">
        <v>4.7100000000000003E-2</v>
      </c>
      <c r="K177" s="55">
        <v>66510</v>
      </c>
      <c r="L177" s="52">
        <v>9833</v>
      </c>
      <c r="M177" s="54">
        <v>6.1999999999999999E-6</v>
      </c>
    </row>
    <row r="178" spans="1:13" ht="19" x14ac:dyDescent="0.2">
      <c r="A178" s="50">
        <v>177</v>
      </c>
      <c r="B178" s="50" t="s">
        <v>628</v>
      </c>
      <c r="C178" s="50" t="s">
        <v>1303</v>
      </c>
      <c r="D178" s="23" t="s">
        <v>184</v>
      </c>
      <c r="E178" s="58" t="str">
        <f>VLOOKUP(D178,all_countries!D:E,2,0)</f>
        <v>🇫🇲</v>
      </c>
      <c r="F178" s="58" t="str">
        <f>VLOOKUP(D178,Сountries!V:Z,2,0)</f>
        <v>Oceania</v>
      </c>
      <c r="G178" s="52">
        <v>460000000</v>
      </c>
      <c r="H178" s="59">
        <f t="shared" si="2"/>
        <v>0.46</v>
      </c>
      <c r="I178" s="53" t="s">
        <v>1580</v>
      </c>
      <c r="J178" s="54">
        <v>7.7999999999999996E-3</v>
      </c>
      <c r="K178" s="55">
        <v>112630</v>
      </c>
      <c r="L178" s="52">
        <v>4084</v>
      </c>
      <c r="M178" s="54">
        <v>4.3000000000000003E-6</v>
      </c>
    </row>
    <row r="179" spans="1:13" ht="19" x14ac:dyDescent="0.2">
      <c r="A179" s="50">
        <v>178</v>
      </c>
      <c r="B179" s="50" t="s">
        <v>628</v>
      </c>
      <c r="C179" s="50" t="s">
        <v>1313</v>
      </c>
      <c r="D179" s="23" t="s">
        <v>195</v>
      </c>
      <c r="E179" s="58" t="str">
        <f>VLOOKUP(D179,all_countries!D:E,2,0)</f>
        <v>🇵🇼</v>
      </c>
      <c r="F179" s="58" t="str">
        <f>VLOOKUP(D179,Сountries!V:Z,2,0)</f>
        <v>Oceania</v>
      </c>
      <c r="G179" s="52">
        <v>281849063</v>
      </c>
      <c r="H179" s="59">
        <f t="shared" si="2"/>
        <v>0.28184906300000001</v>
      </c>
      <c r="I179" s="53" t="s">
        <v>1581</v>
      </c>
      <c r="J179" s="54">
        <v>1.8800000000000001E-2</v>
      </c>
      <c r="K179" s="55">
        <v>17727</v>
      </c>
      <c r="L179" s="52">
        <v>15899</v>
      </c>
      <c r="M179" s="54">
        <v>2.7E-6</v>
      </c>
    </row>
    <row r="180" spans="1:13" ht="19" x14ac:dyDescent="0.2">
      <c r="A180" s="50">
        <v>179</v>
      </c>
      <c r="B180" s="50" t="s">
        <v>628</v>
      </c>
      <c r="C180" s="50" t="s">
        <v>1300</v>
      </c>
      <c r="D180" s="23" t="s">
        <v>181</v>
      </c>
      <c r="E180" s="58" t="str">
        <f>VLOOKUP(D180,all_countries!D:E,2,0)</f>
        <v>🇰🇮</v>
      </c>
      <c r="F180" s="58" t="str">
        <f>VLOOKUP(D180,Сountries!V:Z,2,0)</f>
        <v>Oceania</v>
      </c>
      <c r="G180" s="52">
        <v>279208903</v>
      </c>
      <c r="H180" s="59">
        <f t="shared" si="2"/>
        <v>0.27920890300000001</v>
      </c>
      <c r="I180" s="53" t="s">
        <v>1582</v>
      </c>
      <c r="J180" s="54">
        <v>4.1200000000000001E-2</v>
      </c>
      <c r="K180" s="55">
        <v>132530</v>
      </c>
      <c r="L180" s="52">
        <v>2107</v>
      </c>
      <c r="M180" s="54">
        <v>2.6000000000000001E-6</v>
      </c>
    </row>
    <row r="181" spans="1:13" ht="19" x14ac:dyDescent="0.2">
      <c r="A181" s="50">
        <v>180</v>
      </c>
      <c r="B181" s="50" t="s">
        <v>628</v>
      </c>
      <c r="C181" s="50" t="s">
        <v>1311</v>
      </c>
      <c r="D181" s="23" t="s">
        <v>193</v>
      </c>
      <c r="E181" s="58" t="str">
        <f>VLOOKUP(D181,all_countries!D:E,2,0)</f>
        <v>🇲🇭</v>
      </c>
      <c r="F181" s="58" t="str">
        <f>VLOOKUP(D181,Сountries!V:Z,2,0)</f>
        <v>Oceania</v>
      </c>
      <c r="G181" s="52">
        <v>259300000</v>
      </c>
      <c r="H181" s="59">
        <f t="shared" si="2"/>
        <v>0.25929999999999997</v>
      </c>
      <c r="I181" s="53" t="s">
        <v>1583</v>
      </c>
      <c r="J181" s="53" t="s">
        <v>1584</v>
      </c>
      <c r="K181" s="55">
        <v>38827</v>
      </c>
      <c r="L181" s="52">
        <v>6678</v>
      </c>
      <c r="M181" s="54">
        <v>2.3999999999999999E-6</v>
      </c>
    </row>
    <row r="182" spans="1:13" ht="19" x14ac:dyDescent="0.2">
      <c r="A182" s="50">
        <v>181</v>
      </c>
      <c r="B182" s="50" t="s">
        <v>628</v>
      </c>
      <c r="C182" s="50" t="s">
        <v>1315</v>
      </c>
      <c r="D182" s="23" t="s">
        <v>197</v>
      </c>
      <c r="E182" s="58" t="str">
        <f>VLOOKUP(D182,all_countries!D:E,2,0)</f>
        <v>🇹🇻</v>
      </c>
      <c r="F182" s="58" t="str">
        <f>VLOOKUP(D182,Сountries!V:Z,2,0)</f>
        <v>Oceania</v>
      </c>
      <c r="G182" s="52">
        <v>62280312</v>
      </c>
      <c r="H182" s="59">
        <f t="shared" si="2"/>
        <v>6.2280311999999997E-2</v>
      </c>
      <c r="I182" s="53" t="s">
        <v>1585</v>
      </c>
      <c r="J182" s="54">
        <v>3.85E-2</v>
      </c>
      <c r="K182" s="55">
        <v>9816</v>
      </c>
      <c r="L182" s="52">
        <v>6345</v>
      </c>
      <c r="M182" s="54">
        <v>5.8999999999999996E-7</v>
      </c>
    </row>
  </sheetData>
  <autoFilter ref="A1:M182" xr:uid="{04956162-1844-3744-8148-B3F6150A1A39}"/>
  <hyperlinks>
    <hyperlink ref="D2" r:id="rId1" display="https://www.worldometers.info/gdp/us-gdp/" xr:uid="{37F4024E-7D83-6646-B25F-C33FC1966BC1}"/>
    <hyperlink ref="D3" r:id="rId2" display="https://www.worldometers.info/gdp/china-gdp/" xr:uid="{927ACC56-CBF6-084C-8C3E-CF9F5E7BAB01}"/>
    <hyperlink ref="D4" r:id="rId3" display="https://www.worldometers.info/gdp/germany-gdp/" xr:uid="{ACB9A655-35AC-4649-A4AC-D645A15AC9F9}"/>
    <hyperlink ref="D5" r:id="rId4" display="https://www.worldometers.info/gdp/japan-gdp/" xr:uid="{8D4B6B66-FD78-5C4C-9D8A-517B06286943}"/>
    <hyperlink ref="D6" r:id="rId5" display="https://www.worldometers.info/gdp/india-gdp/" xr:uid="{A593DDD9-708B-3C41-978F-5EB675BAE1BA}"/>
    <hyperlink ref="D7" r:id="rId6" display="https://www.worldometers.info/gdp/uk-gdp/" xr:uid="{C58B53EB-4309-7047-B249-37A6ED03C0B3}"/>
    <hyperlink ref="D8" r:id="rId7" display="https://www.worldometers.info/gdp/france-gdp/" xr:uid="{F9B83113-EDDB-284F-8683-00CBDC044E0F}"/>
    <hyperlink ref="D9" r:id="rId8" display="https://www.worldometers.info/gdp/italy-gdp/" xr:uid="{8AE55AAE-02CA-4E4D-8874-530BD8CC128A}"/>
    <hyperlink ref="D10" r:id="rId9" display="https://www.worldometers.info/gdp/brazil-gdp/" xr:uid="{8A90E3DD-57E7-5E48-8853-9EE8EB5EE979}"/>
    <hyperlink ref="D11" r:id="rId10" display="https://www.worldometers.info/gdp/canada-gdp/" xr:uid="{CF19E19E-5596-5447-9F9B-544FDA08861E}"/>
    <hyperlink ref="D12" r:id="rId11" display="https://www.worldometers.info/gdp/russia-gdp/" xr:uid="{AF93BBA7-5577-5846-A9A3-E170B3D65757}"/>
    <hyperlink ref="D13" r:id="rId12" display="https://www.worldometers.info/gdp/mexico-gdp/" xr:uid="{1B31D7BF-162F-1A4D-A977-36BB755AB12E}"/>
    <hyperlink ref="D14" r:id="rId13" display="https://www.worldometers.info/gdp/australia-gdp/" xr:uid="{54552139-5FF7-3941-8EB1-13685DC3191C}"/>
    <hyperlink ref="D15" r:id="rId14" display="https://www.worldometers.info/gdp/south-korea-gdp/" xr:uid="{B8628FE6-36D7-764C-B1D0-8D3D61F0B4C8}"/>
    <hyperlink ref="D16" r:id="rId15" display="https://www.worldometers.info/gdp/spain-gdp/" xr:uid="{507BE13C-FD27-0543-9B07-87FF3B0CF9A0}"/>
    <hyperlink ref="D17" r:id="rId16" display="https://www.worldometers.info/gdp/indonesia-gdp/" xr:uid="{875F7279-1DC4-1347-99BA-A5E93AEB6E3B}"/>
    <hyperlink ref="D18" r:id="rId17" display="https://www.worldometers.info/gdp/netherlands-gdp/" xr:uid="{CDE2608D-C2C7-E04C-955B-6E0DF646764F}"/>
    <hyperlink ref="D19" r:id="rId18" display="https://www.worldometers.info/gdp/turkey-gdp/" xr:uid="{3381CCC5-A794-9840-B261-86232851AC54}"/>
    <hyperlink ref="D20" r:id="rId19" display="https://www.worldometers.info/gdp/saudi-arabia-gdp/" xr:uid="{8090FA0A-6F92-FB45-BA4F-03BF7B69FE67}"/>
    <hyperlink ref="D21" r:id="rId20" display="https://www.worldometers.info/gdp/switzerland-gdp/" xr:uid="{77270653-E0CF-5140-AB78-33EF4DFE7308}"/>
    <hyperlink ref="D22" r:id="rId21" display="https://www.worldometers.info/gdp/poland-gdp/" xr:uid="{5AC6BDDC-BB90-A841-8AF4-7E7A6794217D}"/>
    <hyperlink ref="D23" r:id="rId22" display="https://www.worldometers.info/gdp/argentina-gdp/" xr:uid="{A8CDB5AF-4615-7348-8436-31E44B7ED6EF}"/>
    <hyperlink ref="D24" r:id="rId23" display="https://www.worldometers.info/gdp/belgium-gdp/" xr:uid="{FA15AE45-0B9E-D447-B4F0-DA7336A18BCC}"/>
    <hyperlink ref="D25" r:id="rId24" display="https://www.worldometers.info/gdp/sweden-gdp/" xr:uid="{D83FEC81-4237-E94C-B032-E8984C9B0224}"/>
    <hyperlink ref="D26" r:id="rId25" display="https://www.worldometers.info/gdp/ireland-gdp/" xr:uid="{F19126B9-1BC1-8B44-8B34-21BC70FC8CE5}"/>
    <hyperlink ref="D27" r:id="rId26" display="https://www.worldometers.info/gdp/thailand-gdp/" xr:uid="{EDFBE6B2-86DA-EF43-B8CD-890B410794F7}"/>
    <hyperlink ref="D28" r:id="rId27" display="https://www.worldometers.info/gdp/united-arab-emirates-gdp/" xr:uid="{F9064B7F-434C-CB4A-A1C9-8E00B28B9562}"/>
    <hyperlink ref="D29" r:id="rId28" display="https://www.worldometers.info/gdp/israel-gdp/" xr:uid="{41111444-9F6B-D94A-AB61-3D5B8F5D4215}"/>
    <hyperlink ref="D30" r:id="rId29" display="https://www.worldometers.info/gdp/austria-gdp/" xr:uid="{6545EB29-C608-1E40-8EBC-E9600CD0092F}"/>
    <hyperlink ref="D31" r:id="rId30" display="https://www.worldometers.info/gdp/singapore-gdp/" xr:uid="{40DA3313-4226-F045-AC59-92CDAA5A0735}"/>
    <hyperlink ref="D32" r:id="rId31" display="https://www.worldometers.info/gdp/norway-gdp/" xr:uid="{7894102C-9CB2-CA46-8C0E-82548B036D44}"/>
    <hyperlink ref="D33" r:id="rId32" display="https://www.worldometers.info/gdp/bangladesh-gdp/" xr:uid="{5EA72184-660A-C14B-A7A4-A3A4806EB0BB}"/>
    <hyperlink ref="D34" r:id="rId33" display="https://www.worldometers.info/gdp/philippines-gdp/" xr:uid="{9147C330-C1BB-6D4B-A852-F21C9F1A51B8}"/>
    <hyperlink ref="D35" r:id="rId34" display="https://www.worldometers.info/gdp/vietnam-gdp/" xr:uid="{9305021C-DCDB-4A44-9736-097E96664FEB}"/>
    <hyperlink ref="D36" r:id="rId35" display="https://www.worldometers.info/gdp/denmark-gdp/" xr:uid="{A247E0CB-7EDD-4743-B1A8-742F42877349}"/>
    <hyperlink ref="D37" r:id="rId36" display="https://www.worldometers.info/gdp/iran-gdp/" xr:uid="{40F52383-C811-C94B-B5BC-6A7E19E9C480}"/>
    <hyperlink ref="D38" r:id="rId37" display="https://www.worldometers.info/gdp/malaysia-gdp/" xr:uid="{31CFD508-4096-5E4E-B373-74E3A6C24ABD}"/>
    <hyperlink ref="D39" r:id="rId38" display="https://www.worldometers.info/gdp/egypt-gdp/" xr:uid="{9935C189-1B2A-1546-ADC0-7C2A5A21C93D}"/>
    <hyperlink ref="D40" r:id="rId39" display="https://www.worldometers.info/gdp/china-hong-kong-sar-gdp/" xr:uid="{66249E51-B715-9748-8791-8E92B945C81E}"/>
    <hyperlink ref="D41" r:id="rId40" display="https://www.worldometers.info/gdp/south-africa-gdp/" xr:uid="{41DF091B-63A7-3048-84D1-59C884D776B8}"/>
    <hyperlink ref="D42" r:id="rId41" display="https://www.worldometers.info/gdp/nigeria-gdp/" xr:uid="{28C701DB-D345-F348-A5EE-72F9CFF6E168}"/>
    <hyperlink ref="D43" r:id="rId42" display="https://www.worldometers.info/gdp/colombia-gdp/" xr:uid="{7F284107-0030-8941-A84B-E131B8FFE2D9}"/>
    <hyperlink ref="D44" r:id="rId43" display="https://www.worldometers.info/gdp/romania-gdp/" xr:uid="{C84177E4-3418-9A49-9379-B3A4D43CC943}"/>
    <hyperlink ref="D45" r:id="rId44" display="https://www.worldometers.info/gdp/czechia-gdp/" xr:uid="{8B93804E-AA82-2D47-AFD6-2290443C80AA}"/>
    <hyperlink ref="D46" r:id="rId45" display="https://www.worldometers.info/gdp/pakistan-gdp/" xr:uid="{F1D44BDC-A1D3-D74E-932D-EB730E724221}"/>
    <hyperlink ref="D47" r:id="rId46" display="https://www.worldometers.info/gdp/chile-gdp/" xr:uid="{D07039CF-1913-4143-9CFC-B77BBF35FFF7}"/>
    <hyperlink ref="D48" r:id="rId47" display="https://www.worldometers.info/gdp/finland-gdp/" xr:uid="{0C9F3972-2544-8045-8BB6-22ADC937172B}"/>
    <hyperlink ref="D49" r:id="rId48" display="https://www.worldometers.info/gdp/portugal-gdp/" xr:uid="{D146691D-AC12-4D46-B9B9-AD937A1239F3}"/>
    <hyperlink ref="D50" r:id="rId49" display="https://www.worldometers.info/gdp/peru-gdp/" xr:uid="{961C63D4-D953-5945-8815-214061225CD3}"/>
    <hyperlink ref="D51" r:id="rId50" display="https://www.worldometers.info/gdp/kazakhstan-gdp/" xr:uid="{A0017A08-B8EB-0E40-BE8F-D5BFD798BE4F}"/>
    <hyperlink ref="D52" r:id="rId51" display="https://www.worldometers.info/gdp/new-zealand-gdp/" xr:uid="{EF850870-CC70-9C49-A759-3499DF86E7C2}"/>
    <hyperlink ref="D53" r:id="rId52" display="https://www.worldometers.info/gdp/iraq-gdp/" xr:uid="{0FE4A37E-68A2-FB4E-83F2-0C75157784D7}"/>
    <hyperlink ref="D54" r:id="rId53" display="https://www.worldometers.info/gdp/algeria-gdp/" xr:uid="{F006A6C3-84BE-A84A-9AEC-18A63EEA3DB1}"/>
    <hyperlink ref="D55" r:id="rId54" display="https://www.worldometers.info/gdp/greece-gdp/" xr:uid="{4115CCB2-3784-4D42-851D-5C1CE668C042}"/>
    <hyperlink ref="D56" r:id="rId55" display="https://www.worldometers.info/gdp/qatar-gdp/" xr:uid="{0FE628D9-0E8A-7C46-91F9-EFD09BD0B4AB}"/>
    <hyperlink ref="D57" r:id="rId56" display="https://www.worldometers.info/gdp/hungary-gdp/" xr:uid="{72CA7BB5-E14E-F443-B18D-49A4C2B6E6AC}"/>
    <hyperlink ref="D58" r:id="rId57" display="https://www.worldometers.info/gdp/ukraine-gdp/" xr:uid="{C7CF2388-A8F5-7A49-80F5-C15E317BAE43}"/>
    <hyperlink ref="D59" r:id="rId58" display="https://www.worldometers.info/gdp/kuwait-gdp/" xr:uid="{C26F7576-2A68-D448-8883-ABE8037B5B47}"/>
    <hyperlink ref="D60" r:id="rId59" display="https://www.worldometers.info/gdp/ethiopia-gdp/" xr:uid="{D657BD93-5396-014F-B34A-CFFD8F1C098E}"/>
    <hyperlink ref="D61" r:id="rId60" display="https://www.worldometers.info/gdp/morocco-gdp/" xr:uid="{0A3E5CAD-65F0-DF4B-B21B-82AE29C1D27C}"/>
    <hyperlink ref="D62" r:id="rId61" display="https://www.worldometers.info/gdp/slovakia-gdp/" xr:uid="{968834DD-BEBA-3A44-A917-ECE223C059D6}"/>
    <hyperlink ref="D63" r:id="rId62" display="https://www.worldometers.info/gdp/dominican-republic-gdp/" xr:uid="{433D674B-EE4B-4B4F-90AA-F666C2EA3F79}"/>
    <hyperlink ref="D64" r:id="rId63" display="https://www.worldometers.info/gdp/ecuador-gdp/" xr:uid="{FE6CC4FE-6C06-4241-89AD-2A70F3523504}"/>
    <hyperlink ref="D65" r:id="rId64" display="https://www.worldometers.info/gdp/sudan-gdp/" xr:uid="{93D7C686-8072-364D-9CD1-EAA82CE7DCE5}"/>
    <hyperlink ref="D66" r:id="rId65" display="https://www.worldometers.info/gdp/oman-gdp/" xr:uid="{E5191A86-51B1-E74F-9BB1-217F2F5F5A99}"/>
    <hyperlink ref="D67" r:id="rId66" display="https://www.worldometers.info/gdp/kenya-gdp/" xr:uid="{D696989A-C263-F84F-817E-559973FE21B1}"/>
    <hyperlink ref="D68" r:id="rId67" display="https://www.worldometers.info/gdp/guatemala-gdp/" xr:uid="{224E8600-B263-B843-929D-D5E07D451AE7}"/>
    <hyperlink ref="D69" r:id="rId68" display="https://www.worldometers.info/gdp/bulgaria-gdp/" xr:uid="{411278A0-6756-FD49-B8D1-8A817E0134B0}"/>
    <hyperlink ref="D70" r:id="rId69" display="https://www.worldometers.info/gdp/uzbekistan-gdp/" xr:uid="{934DC670-BB51-E845-B479-624631DE9607}"/>
    <hyperlink ref="D71" r:id="rId70" display="https://www.worldometers.info/gdp/costa-rica-gdp/" xr:uid="{9AB122DF-1349-7142-9BEE-C58C1FF47744}"/>
    <hyperlink ref="D72" r:id="rId71" display="https://www.worldometers.info/gdp/luxembourg-gdp/" xr:uid="{1C4C328A-AB4E-F14C-94ED-1CEB58CEE080}"/>
    <hyperlink ref="D73" r:id="rId72" display="https://www.worldometers.info/gdp/angola-gdp/" xr:uid="{EF1E70BA-9572-BE4B-86AE-E13F78BF2AEF}"/>
    <hyperlink ref="D74" r:id="rId73" display="https://www.worldometers.info/gdp/croatia-gdp/" xr:uid="{1FF2E839-3FCF-BE43-AA4B-E6EFBD2865B6}"/>
    <hyperlink ref="D75" r:id="rId74" display="https://www.worldometers.info/gdp/sri-lanka-gdp/" xr:uid="{66BEC509-66C8-B744-B69B-6EAEEBBCBBDD}"/>
    <hyperlink ref="D76" r:id="rId75" display="https://www.worldometers.info/gdp/panama-gdp/" xr:uid="{0E24EB4C-2536-CC4F-B8F7-93F251D25119}"/>
    <hyperlink ref="D77" r:id="rId76" display="https://www.worldometers.info/gdp/serbia-gdp/" xr:uid="{3DE5847F-735A-5D44-905E-6321839EB109}"/>
    <hyperlink ref="D78" r:id="rId77" display="https://www.worldometers.info/gdp/lithuania-gdp/" xr:uid="{222391E1-EDEC-7F49-BE8D-98F776D345C8}"/>
    <hyperlink ref="D79" r:id="rId78" display="https://www.worldometers.info/gdp/tanzania-gdp/" xr:uid="{B736FAC2-B76C-1F4B-ACA9-98B48B02D01B}"/>
    <hyperlink ref="D80" r:id="rId79" display="https://www.worldometers.info/gdp/cote-d-ivoire-gdp/" xr:uid="{0192A9D6-B4D9-D849-A6D7-AE764FB12CE7}"/>
    <hyperlink ref="D81" r:id="rId80" display="https://www.worldometers.info/gdp/uruguay-gdp/" xr:uid="{EE9BE786-5B2F-1142-8FAF-2CD93BA9E727}"/>
    <hyperlink ref="D82" r:id="rId81" display="https://www.worldometers.info/gdp/ghana-gdp/" xr:uid="{CB5FB981-4275-5C41-80E7-05CF05D4A33A}"/>
    <hyperlink ref="D83" r:id="rId82" display="https://www.worldometers.info/gdp/azerbaijan-gdp/" xr:uid="{260DAA3D-D821-0641-B8BC-314C6413AA8C}"/>
    <hyperlink ref="D84" r:id="rId83" display="https://www.worldometers.info/gdp/belarus-gdp/" xr:uid="{CD3D8948-26C8-AF47-BC53-65E75FD0A806}"/>
    <hyperlink ref="D85" r:id="rId84" display="https://www.worldometers.info/gdp/slovenia-gdp/" xr:uid="{4A8B7C99-F34C-774E-BE99-ADEB9D73B9C8}"/>
    <hyperlink ref="D86" r:id="rId85" display="https://www.worldometers.info/gdp/myanmar-gdp/" xr:uid="{46DF8C5E-5D61-C844-AADC-9DC0E5544634}"/>
    <hyperlink ref="D87" r:id="rId86" display="https://www.worldometers.info/gdp/democratic-republic-of-the-congo-gdp/" xr:uid="{166DA8C5-0FDA-7A4F-B0DD-10926608620F}"/>
    <hyperlink ref="D88" r:id="rId87" display="https://www.worldometers.info/gdp/turkmenistan-gdp/" xr:uid="{3DB3CA67-15FF-7B40-9042-2F21533ED213}"/>
    <hyperlink ref="D89" r:id="rId88" display="https://www.worldometers.info/gdp/jordan-gdp/" xr:uid="{47A04B92-7B9B-204B-B6E4-B4745A597B13}"/>
    <hyperlink ref="D90" r:id="rId89" display="https://www.worldometers.info/gdp/cameroon-gdp/" xr:uid="{FF322F45-CB0A-4C46-BDAD-41A134E65D09}"/>
    <hyperlink ref="D91" r:id="rId90" display="https://www.worldometers.info/gdp/uganda-gdp/" xr:uid="{0D910942-4DED-9A40-AC73-0E33E7EC3F37}"/>
    <hyperlink ref="D92" r:id="rId91" display="https://www.worldometers.info/gdp/tunisia-gdp/" xr:uid="{13583EC2-3671-EC41-8C5E-4DD29FDCC900}"/>
    <hyperlink ref="D93" r:id="rId92" display="https://www.worldometers.info/gdp/bahrain-gdp/" xr:uid="{12E1F484-A60F-C648-BFB5-2370A844C39C}"/>
    <hyperlink ref="D94" r:id="rId93" display="https://www.worldometers.info/gdp/china-macao-sar-gdp/" xr:uid="{2D128BAA-F9B8-FB41-863E-B4A53F720872}"/>
    <hyperlink ref="D95" r:id="rId94" display="https://www.worldometers.info/gdp/bolivia-gdp/" xr:uid="{FDD414EB-0C3D-1647-B5B4-EF88A2D54D10}"/>
    <hyperlink ref="D96" r:id="rId95" display="https://www.worldometers.info/gdp/libya-gdp/" xr:uid="{9F3C1769-2A24-234D-BEDA-F45F8EE89B40}"/>
    <hyperlink ref="D97" r:id="rId96" display="https://www.worldometers.info/gdp/paraguay-gdp/" xr:uid="{F7C54FBF-7C9B-9B4F-A3DE-34B5C4B37C1D}"/>
    <hyperlink ref="D98" r:id="rId97" display="https://www.worldometers.info/gdp/cambodia-gdp/" xr:uid="{6A1DFCFB-57D0-AB49-A1BA-BC760ED17CDE}"/>
    <hyperlink ref="D99" r:id="rId98" display="https://www.worldometers.info/gdp/latvia-gdp/" xr:uid="{7610C1FB-D438-CF49-A250-DCE7F71988C0}"/>
    <hyperlink ref="D100" r:id="rId99" display="https://www.worldometers.info/gdp/estonia-gdp/" xr:uid="{BEB09A69-C54B-D945-83AD-8964D5131A31}"/>
    <hyperlink ref="D101" r:id="rId100" display="https://www.worldometers.info/gdp/nepal-gdp/" xr:uid="{0F6D81C7-66A6-F74B-BE6D-1B832484BD71}"/>
    <hyperlink ref="D102" r:id="rId101" display="https://www.worldometers.info/gdp/zimbabwe-gdp/" xr:uid="{594C9305-F3D8-CD4B-B808-FDE10D9FB083}"/>
    <hyperlink ref="D103" r:id="rId102" display="https://www.worldometers.info/gdp/honduras-gdp/" xr:uid="{68385525-BC43-604D-A148-20B124CCEF2A}"/>
    <hyperlink ref="D104" r:id="rId103" display="https://www.worldometers.info/gdp/el-salvador-gdp/" xr:uid="{59461BB3-A1B8-5E41-BD0E-5FD0EE4F8CF0}"/>
    <hyperlink ref="D105" r:id="rId104" display="https://www.worldometers.info/gdp/cyprus-gdp/" xr:uid="{6008FD5D-E30C-8B41-A4A7-BC9FB4272AC9}"/>
    <hyperlink ref="D106" r:id="rId105" display="https://www.worldometers.info/gdp/iceland-gdp/" xr:uid="{ADC420DC-7BFD-1644-B3C2-89A73499E987}"/>
    <hyperlink ref="D107" r:id="rId106" display="https://www.worldometers.info/gdp/senegal-gdp/" xr:uid="{3C7ADEE7-BA50-D44B-BAA1-519EBBD5D904}"/>
    <hyperlink ref="D108" r:id="rId107" display="https://www.worldometers.info/gdp/georgia-gdp/" xr:uid="{EF43FC80-77D3-2549-B66D-FE2932F70E6D}"/>
    <hyperlink ref="D109" r:id="rId108" display="https://www.worldometers.info/gdp/papua-new-guinea-gdp/" xr:uid="{C1E7EDEA-F91B-6C48-A03B-9340C1055163}"/>
    <hyperlink ref="D110" r:id="rId109" display="https://www.worldometers.info/gdp/zambia-gdp/" xr:uid="{5F466DC2-4771-5941-8D39-418891A5FE6C}"/>
    <hyperlink ref="D111" r:id="rId110" display="https://www.worldometers.info/gdp/bosnia-and-herzegovina-gdp/" xr:uid="{9BC22426-FBF0-894D-87FD-F999C411AFBF}"/>
    <hyperlink ref="D112" r:id="rId111" display="https://www.worldometers.info/gdp/trinidad-and-tobago-gdp/" xr:uid="{1E7BF9C3-54F9-D745-AB57-176A1AA71A03}"/>
    <hyperlink ref="D113" r:id="rId112" display="https://www.worldometers.info/gdp/armenia-gdp/" xr:uid="{31BA30C5-87E2-F549-BE22-B3FA8ACFB2B2}"/>
    <hyperlink ref="D114" r:id="rId113" display="https://www.worldometers.info/gdp/albania-gdp/" xr:uid="{3B75AACA-8656-AA49-9599-F38B9716410D}"/>
    <hyperlink ref="D115" r:id="rId114" display="https://www.worldometers.info/gdp/malta-gdp/" xr:uid="{9BC0BD91-5D79-154B-8B41-5C7F792AEEAB}"/>
    <hyperlink ref="D116" r:id="rId115" display="https://www.worldometers.info/gdp/guinea-gdp/" xr:uid="{D635F392-8A95-0E41-9B77-F802BD0E6614}"/>
    <hyperlink ref="D117" r:id="rId116" display="https://www.worldometers.info/gdp/mozambique-gdp/" xr:uid="{5D209455-65D6-4044-83F2-0AE968A09368}"/>
    <hyperlink ref="D118" r:id="rId117" display="https://www.worldometers.info/gdp/mali-gdp/" xr:uid="{FF26E990-70DE-CE4D-9251-96810F8BE039}"/>
    <hyperlink ref="D119" r:id="rId118" display="https://www.worldometers.info/gdp/mongolia-gdp/" xr:uid="{57CD623C-98C7-C944-84C5-D7CF850F6621}"/>
    <hyperlink ref="D120" r:id="rId119" display="https://www.worldometers.info/gdp/burkina-faso-gdp/" xr:uid="{29E0570F-1D6C-294D-91D0-B8C0590CF1AC}"/>
    <hyperlink ref="D121" r:id="rId120" display="https://www.worldometers.info/gdp/haiti-gdp/" xr:uid="{19C62E63-1DA7-E644-8BEB-83E6EEE6C590}"/>
    <hyperlink ref="D122" r:id="rId121" display="https://www.worldometers.info/gdp/benin-gdp/" xr:uid="{C1BEBB19-1B0D-104F-8F20-745955AC8DC3}"/>
    <hyperlink ref="D123" r:id="rId122" display="https://www.worldometers.info/gdp/jamaica-gdp/" xr:uid="{6379C28D-3D71-B447-9BAB-1C4927F2F070}"/>
    <hyperlink ref="D124" r:id="rId123" display="https://www.worldometers.info/gdp/botswana-gdp/" xr:uid="{B429D942-894F-E54D-9E3B-47BABD38C5A1}"/>
    <hyperlink ref="D125" r:id="rId124" display="https://www.worldometers.info/gdp/gabon-gdp/" xr:uid="{792148B7-15F5-2C43-982A-DB92B92A2F07}"/>
    <hyperlink ref="D126" r:id="rId125" display="https://www.worldometers.info/gdp/nicaragua-gdp/" xr:uid="{36B0F150-37C4-CF48-9A4E-DF9BD6E42DDA}"/>
    <hyperlink ref="D127" r:id="rId126" display="https://www.worldometers.info/gdp/state-of-palestine-gdp/" xr:uid="{41B7015A-2F0C-4A4B-BDB6-11D1234837A3}"/>
    <hyperlink ref="D128" r:id="rId127" display="https://www.worldometers.info/gdp/afghanistan-gdp/" xr:uid="{0AFA1064-71D5-114E-82D9-4A02B17102F7}"/>
    <hyperlink ref="D129" r:id="rId128" display="https://www.worldometers.info/gdp/guyana-gdp/" xr:uid="{A1BADB06-E2BC-8649-83A1-D0D561C30C48}"/>
    <hyperlink ref="D130" r:id="rId129" display="https://www.worldometers.info/gdp/niger-gdp/" xr:uid="{0C50F8B7-8390-7248-9D26-FE03EAFDD9A2}"/>
    <hyperlink ref="D131" r:id="rId130" display="https://www.worldometers.info/gdp/moldova-gdp/" xr:uid="{D4D28027-AA91-5E4B-B753-6ADE001894DA}"/>
    <hyperlink ref="D132" r:id="rId131" display="https://www.worldometers.info/gdp/laos-gdp/" xr:uid="{437D745C-7E45-0C45-BD6C-391B619B130B}"/>
    <hyperlink ref="D133" r:id="rId132" display="https://www.worldometers.info/gdp/madagascar-gdp/" xr:uid="{B5DE3800-8C7D-E248-B5DA-86007B297588}"/>
    <hyperlink ref="D134" r:id="rId133" display="https://www.worldometers.info/gdp/north-macedonia-gdp/" xr:uid="{55E7712F-F5D2-964D-93C3-105F0D107856}"/>
    <hyperlink ref="D135" r:id="rId134" display="https://www.worldometers.info/gdp/congo-gdp/" xr:uid="{83FE4E86-DF7B-3B4D-B2C4-F1507C28B456}"/>
    <hyperlink ref="D136" r:id="rId135" display="https://www.worldometers.info/gdp/brunei-darussalam-gdp/" xr:uid="{7C2EB75E-CBE2-A24E-B5E5-DE2970E9CCA2}"/>
    <hyperlink ref="D137" r:id="rId136" display="https://www.worldometers.info/gdp/mauritius-gdp/" xr:uid="{9E9DE466-0732-1A41-8BC1-F59624FD4B8C}"/>
    <hyperlink ref="D138" r:id="rId137" display="https://www.worldometers.info/gdp/bahamas-gdp/" xr:uid="{8317B3D5-73C8-7244-9CE3-758C275CB677}"/>
    <hyperlink ref="D139" r:id="rId138" display="https://www.worldometers.info/gdp/rwanda-gdp/" xr:uid="{F1A85579-BBE9-7C49-A4E7-911AF289EB6A}"/>
    <hyperlink ref="D140" r:id="rId139" display="https://www.worldometers.info/gdp/kyrgyzstan-gdp/" xr:uid="{9C3152E7-6F9A-4743-895C-2B24D95D380E}"/>
    <hyperlink ref="D141" r:id="rId140" display="https://www.worldometers.info/gdp/chad-gdp/" xr:uid="{E952CFAF-2843-5E4B-8509-C4EC7F8512C3}"/>
    <hyperlink ref="D142" r:id="rId141" display="https://www.worldometers.info/gdp/malawi-gdp/" xr:uid="{6420843C-A47C-2346-93A5-AECE16CB70D1}"/>
    <hyperlink ref="D143" r:id="rId142" display="https://www.worldometers.info/gdp/namibia-gdp/" xr:uid="{310E8AA1-CFC4-ED40-A00C-D3A76884A560}"/>
    <hyperlink ref="D144" r:id="rId143" display="https://www.worldometers.info/gdp/equatorial-guinea-gdp/" xr:uid="{53658655-DC05-7342-8E03-5131ED8A04E4}"/>
    <hyperlink ref="D145" r:id="rId144" display="https://www.worldometers.info/gdp/tajikistan-gdp/" xr:uid="{F1DD0AB2-F800-9043-8E19-D3373756B06D}"/>
    <hyperlink ref="D146" r:id="rId145" display="https://www.worldometers.info/gdp/mauritania-gdp/" xr:uid="{4A01A5C0-37A6-5C44-BC64-235CE8BA92CC}"/>
    <hyperlink ref="D147" r:id="rId146" display="https://www.worldometers.info/gdp/togo-gdp/" xr:uid="{75985AB2-B43D-944B-B082-00EBE4653A81}"/>
    <hyperlink ref="D148" r:id="rId147" display="https://www.worldometers.info/gdp/montenegro-gdp/" xr:uid="{48725002-C724-C448-96FB-1E77A30BC7FA}"/>
    <hyperlink ref="D149" r:id="rId148" display="https://www.worldometers.info/gdp/barbados-gdp/" xr:uid="{38E4252B-B92F-FE49-BD5E-A380713E8AC9}"/>
    <hyperlink ref="D150" r:id="rId149" display="https://www.worldometers.info/gdp/maldives-gdp/" xr:uid="{69F21EDF-BD8D-AE42-A6D5-FDDBFA250AD2}"/>
    <hyperlink ref="D151" r:id="rId150" display="https://www.worldometers.info/gdp/sierra-leone-gdp/" xr:uid="{0201792B-3AB7-EC4D-B908-82C79E4DB9F4}"/>
    <hyperlink ref="D152" r:id="rId151" display="https://www.worldometers.info/gdp/fiji-gdp/" xr:uid="{9BB56281-DBD1-684B-BE11-19C362CFE4E9}"/>
    <hyperlink ref="D153" r:id="rId152" display="https://www.worldometers.info/gdp/swaziland-gdp/" xr:uid="{8CACB021-6497-0448-A8DB-EAFD1CBE9CCA}"/>
    <hyperlink ref="D154" r:id="rId153" display="https://www.worldometers.info/gdp/liberia-gdp/" xr:uid="{08BB1DCF-78E1-AF40-8941-A14D3470A685}"/>
    <hyperlink ref="D155" r:id="rId154" display="https://www.worldometers.info/gdp/andorra-gdp/" xr:uid="{008A100A-0857-BD4A-A120-18422CF59FDA}"/>
    <hyperlink ref="D156" r:id="rId155" display="https://www.worldometers.info/gdp/aruba-gdp/" xr:uid="{BF6AB75A-4602-EB4D-94F7-224EBEBA4ADA}"/>
    <hyperlink ref="D157" r:id="rId156" display="https://www.worldometers.info/gdp/suriname-gdp/" xr:uid="{FE405B30-85D4-DF40-BE87-F609823ACC4F}"/>
    <hyperlink ref="D158" r:id="rId157" display="https://www.worldometers.info/gdp/belize-gdp/" xr:uid="{2CB459DF-A5E3-7745-A8CC-E85EA8DC96F8}"/>
    <hyperlink ref="D159" r:id="rId158" display="https://www.worldometers.info/gdp/burundi-gdp/" xr:uid="{D670D58E-A6CA-E346-98CD-855EB409FEDB}"/>
    <hyperlink ref="D160" r:id="rId159" display="https://www.worldometers.info/gdp/central-african-republic-gdp/" xr:uid="{103EF615-FCD7-6949-BA2F-EE06B4F34D16}"/>
    <hyperlink ref="D161" r:id="rId160" display="https://www.worldometers.info/gdp/cabo-verde-gdp/" xr:uid="{F76CE405-2A8A-DC46-8914-1500CE075874}"/>
    <hyperlink ref="D162" r:id="rId161" display="https://www.worldometers.info/gdp/saint-lucia-gdp/" xr:uid="{0264F6AA-7061-6642-8C13-BA4A71B1F6EF}"/>
    <hyperlink ref="D163" r:id="rId162" display="https://www.worldometers.info/gdp/gambia-gdp/" xr:uid="{8007C387-1219-2F4A-81FA-DD7DC158DC56}"/>
    <hyperlink ref="D164" r:id="rId163" display="https://www.worldometers.info/gdp/seychelles-gdp/" xr:uid="{35AC7DD5-2BC9-5F42-9E3A-573169D1EC1D}"/>
    <hyperlink ref="D165" r:id="rId164" display="https://www.worldometers.info/gdp/lesotho-gdp/" xr:uid="{1A8654A0-63B1-5447-806C-FB5A8DAB75B2}"/>
    <hyperlink ref="D166" r:id="rId165" display="https://www.worldometers.info/gdp/timor-leste-gdp/" xr:uid="{29A9AA69-5EE7-2C4E-9B6B-1B46EE538169}"/>
    <hyperlink ref="D167" r:id="rId166" display="https://www.worldometers.info/gdp/guinea-bissau-gdp/" xr:uid="{3B7696BA-A267-4844-A301-EC33B0DF628B}"/>
    <hyperlink ref="D168" r:id="rId167" display="https://www.worldometers.info/gdp/antigua-and-barbuda-gdp/" xr:uid="{AEEB20A2-4DD9-F84E-A5E1-617E1A244BC2}"/>
    <hyperlink ref="D169" r:id="rId168" display="https://www.worldometers.info/gdp/solomon-islands-gdp/" xr:uid="{827A6047-2DC4-CB4D-8C78-13E26D84A783}"/>
    <hyperlink ref="D170" r:id="rId169" display="https://www.worldometers.info/gdp/comoros-gdp/" xr:uid="{467F2EA0-87F6-9740-8D09-63E3AB03017B}"/>
    <hyperlink ref="D171" r:id="rId170" display="https://www.worldometers.info/gdp/grenada-gdp/" xr:uid="{35694542-CBA7-0F47-81F0-2CAA76343CC5}"/>
    <hyperlink ref="D172" r:id="rId171" display="https://www.worldometers.info/gdp/vanuatu-gdp/" xr:uid="{1E9E8EE1-20C9-8249-B1F3-26FAE29CE56D}"/>
    <hyperlink ref="D173" r:id="rId172" display="https://www.worldometers.info/gdp/saint-vincent-and-the-grenadines-gdp/" xr:uid="{5B57DF42-13B8-4745-B54B-FF27B1B0ED0D}"/>
    <hyperlink ref="D174" r:id="rId173" display="https://www.worldometers.info/gdp/saint-kitts-and-nevis-gdp/" xr:uid="{D300B235-892E-014D-817A-715C45F32EEC}"/>
    <hyperlink ref="D175" r:id="rId174" display="https://www.worldometers.info/gdp/samoa-gdp/" xr:uid="{6BF97BCD-81D3-B645-A5DA-1E08D378E995}"/>
    <hyperlink ref="D176" r:id="rId175" display="https://www.worldometers.info/gdp/sao-tome-and-principe-gdp/" xr:uid="{A76F33EE-6332-FF47-8960-2A707EC96928}"/>
    <hyperlink ref="D177" r:id="rId176" display="https://www.worldometers.info/gdp/dominica-gdp/" xr:uid="{85EA34CA-4FF9-704F-8251-F96AA2D6562E}"/>
    <hyperlink ref="D178" r:id="rId177" display="https://www.worldometers.info/gdp/micronesia-gdp/" xr:uid="{577AA621-BA13-4E48-8EC7-84559F2655A0}"/>
    <hyperlink ref="D179" r:id="rId178" display="https://www.worldometers.info/gdp/palau-gdp/" xr:uid="{0A77FBA6-9A78-D84A-9313-16E843C78BF8}"/>
    <hyperlink ref="D180" r:id="rId179" display="https://www.worldometers.info/gdp/kiribati-gdp/" xr:uid="{D9206235-39B7-F641-A999-E0B8F0C4AA09}"/>
    <hyperlink ref="D181" r:id="rId180" display="https://www.worldometers.info/gdp/marshall-islands-gdp/" xr:uid="{40CFBBAA-A520-4E4A-9494-C9E7AF891A86}"/>
    <hyperlink ref="D182" r:id="rId181" display="https://www.worldometers.info/gdp/tuvalu-gdp/" xr:uid="{1ABC4259-4DFB-AB4A-AA53-6D37BDC42E6E}"/>
  </hyperlink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40FEE-8615-6647-B699-8451854ECFFC}">
  <sheetPr>
    <tabColor theme="9" tint="-0.499984740745262"/>
  </sheetPr>
  <dimension ref="A1:I1048576"/>
  <sheetViews>
    <sheetView workbookViewId="0">
      <pane ySplit="1" topLeftCell="A2" activePane="bottomLeft" state="frozen"/>
      <selection pane="bottomLeft" activeCell="N31" sqref="N31"/>
    </sheetView>
  </sheetViews>
  <sheetFormatPr baseColWidth="10" defaultRowHeight="22" x14ac:dyDescent="0.3"/>
  <cols>
    <col min="1" max="1" width="5.1640625" bestFit="1" customWidth="1"/>
    <col min="2" max="2" width="30" bestFit="1" customWidth="1"/>
    <col min="3" max="3" width="9.5" style="38" bestFit="1" customWidth="1"/>
    <col min="4" max="4" width="22.5" bestFit="1" customWidth="1"/>
    <col min="5" max="5" width="9.5" bestFit="1" customWidth="1"/>
    <col min="6" max="6" width="11.1640625" customWidth="1"/>
    <col min="7" max="7" width="34.33203125" customWidth="1"/>
    <col min="8" max="8" width="35.83203125" bestFit="1" customWidth="1"/>
    <col min="9" max="9" width="44.33203125" bestFit="1" customWidth="1"/>
  </cols>
  <sheetData>
    <row r="1" spans="1:9" ht="20" x14ac:dyDescent="0.2">
      <c r="A1" s="49" t="s">
        <v>0</v>
      </c>
      <c r="B1" s="49" t="s">
        <v>1003</v>
      </c>
      <c r="C1" s="60" t="s">
        <v>1590</v>
      </c>
      <c r="D1" s="49" t="s">
        <v>1327</v>
      </c>
      <c r="E1" s="49" t="s">
        <v>1331</v>
      </c>
      <c r="F1" s="49" t="s">
        <v>1003</v>
      </c>
      <c r="G1" s="49" t="s">
        <v>1586</v>
      </c>
      <c r="H1" s="49" t="s">
        <v>1587</v>
      </c>
      <c r="I1" s="49" t="s">
        <v>1588</v>
      </c>
    </row>
    <row r="2" spans="1:9" x14ac:dyDescent="0.3">
      <c r="A2" s="50">
        <v>1</v>
      </c>
      <c r="B2" s="50" t="s">
        <v>624</v>
      </c>
      <c r="C2" s="61" t="s">
        <v>1241</v>
      </c>
      <c r="D2" s="23" t="s">
        <v>116</v>
      </c>
      <c r="E2" s="58" t="str">
        <f>VLOOKUP(D2,all_countries!D:E,2,0)</f>
        <v>🇸🇬</v>
      </c>
      <c r="F2" s="58" t="str">
        <f>VLOOKUP(D2,Сountries!V:Z,2,0)</f>
        <v>Asia</v>
      </c>
      <c r="G2" s="52">
        <v>141553</v>
      </c>
      <c r="H2" s="52">
        <v>86616</v>
      </c>
      <c r="I2" s="57">
        <v>6.2</v>
      </c>
    </row>
    <row r="3" spans="1:9" x14ac:dyDescent="0.3">
      <c r="A3" s="50">
        <v>2</v>
      </c>
      <c r="B3" s="50" t="s">
        <v>626</v>
      </c>
      <c r="C3" s="61" t="s">
        <v>1287</v>
      </c>
      <c r="D3" s="23" t="s">
        <v>166</v>
      </c>
      <c r="E3" s="58" t="str">
        <f>VLOOKUP(D3,all_countries!D:E,2,0)</f>
        <v>🇱🇺</v>
      </c>
      <c r="F3" s="58" t="str">
        <f>VLOOKUP(D3,Сountries!V:Z,2,0)</f>
        <v>Europe</v>
      </c>
      <c r="G3" s="52">
        <v>139106</v>
      </c>
      <c r="H3" s="52">
        <v>128936</v>
      </c>
      <c r="I3" s="57">
        <v>6.09</v>
      </c>
    </row>
    <row r="4" spans="1:9" x14ac:dyDescent="0.3">
      <c r="A4" s="50">
        <v>3</v>
      </c>
      <c r="B4" s="50" t="s">
        <v>624</v>
      </c>
      <c r="C4" s="61" t="s">
        <v>1259</v>
      </c>
      <c r="D4" s="23" t="s">
        <v>137</v>
      </c>
      <c r="E4" s="58" t="str">
        <f>VLOOKUP(D4,all_countries!D:E,2,0)</f>
        <v>🇶🇦</v>
      </c>
      <c r="F4" s="58" t="str">
        <f>VLOOKUP(D4,Сountries!V:Z,2,0)</f>
        <v>Asia</v>
      </c>
      <c r="G4" s="52">
        <v>128919</v>
      </c>
      <c r="H4" s="52">
        <v>71500</v>
      </c>
      <c r="I4" s="57">
        <v>5.65</v>
      </c>
    </row>
    <row r="5" spans="1:9" x14ac:dyDescent="0.3">
      <c r="A5" s="50">
        <v>4</v>
      </c>
      <c r="B5" s="50" t="s">
        <v>626</v>
      </c>
      <c r="C5" s="61" t="s">
        <v>1249</v>
      </c>
      <c r="D5" s="23" t="s">
        <v>126</v>
      </c>
      <c r="E5" s="58" t="str">
        <f>VLOOKUP(D5,all_countries!D:E,2,0)</f>
        <v>🇮🇪</v>
      </c>
      <c r="F5" s="58" t="str">
        <f>VLOOKUP(D5,Сountries!V:Z,2,0)</f>
        <v>Europe</v>
      </c>
      <c r="G5" s="52">
        <v>124578</v>
      </c>
      <c r="H5" s="52">
        <v>106106</v>
      </c>
      <c r="I5" s="57">
        <v>5.46</v>
      </c>
    </row>
    <row r="6" spans="1:9" x14ac:dyDescent="0.3">
      <c r="A6" s="50">
        <v>5</v>
      </c>
      <c r="B6" s="50" t="s">
        <v>624</v>
      </c>
      <c r="C6" s="61" t="s">
        <v>1339</v>
      </c>
      <c r="D6" s="23" t="s">
        <v>379</v>
      </c>
      <c r="E6" s="58" t="str">
        <f>VLOOKUP(D6,all_countries!D:E,2,0)</f>
        <v>🇲🇴</v>
      </c>
      <c r="F6" s="58" t="str">
        <f>VLOOKUP(D6,Сountries!V:Z,2,0)</f>
        <v>Asia</v>
      </c>
      <c r="G6" s="52">
        <v>116491</v>
      </c>
      <c r="H6" s="52">
        <v>64158</v>
      </c>
      <c r="I6" s="57">
        <v>5.0999999999999996</v>
      </c>
    </row>
    <row r="7" spans="1:9" x14ac:dyDescent="0.3">
      <c r="A7" s="50">
        <v>6</v>
      </c>
      <c r="B7" s="50" t="s">
        <v>626</v>
      </c>
      <c r="C7" s="61" t="s">
        <v>1245</v>
      </c>
      <c r="D7" s="23" t="s">
        <v>120</v>
      </c>
      <c r="E7" s="58" t="str">
        <f>VLOOKUP(D7,all_countries!D:E,2,0)</f>
        <v>🇳🇴</v>
      </c>
      <c r="F7" s="58" t="str">
        <f>VLOOKUP(D7,Сountries!V:Z,2,0)</f>
        <v>Europe</v>
      </c>
      <c r="G7" s="52">
        <v>100668</v>
      </c>
      <c r="H7" s="52">
        <v>87932</v>
      </c>
      <c r="I7" s="57">
        <v>4.41</v>
      </c>
    </row>
    <row r="8" spans="1:9" x14ac:dyDescent="0.3">
      <c r="A8" s="50">
        <v>7</v>
      </c>
      <c r="B8" s="50" t="s">
        <v>626</v>
      </c>
      <c r="C8" s="61" t="s">
        <v>599</v>
      </c>
      <c r="D8" s="23" t="s">
        <v>103</v>
      </c>
      <c r="E8" s="58" t="str">
        <f>VLOOKUP(D8,all_countries!D:E,2,0)</f>
        <v>🇨🇭</v>
      </c>
      <c r="F8" s="58" t="str">
        <f>VLOOKUP(D8,Сountries!V:Z,2,0)</f>
        <v>Europe</v>
      </c>
      <c r="G8" s="52">
        <v>89315</v>
      </c>
      <c r="H8" s="52">
        <v>99761</v>
      </c>
      <c r="I8" s="57">
        <v>3.91</v>
      </c>
    </row>
    <row r="9" spans="1:9" x14ac:dyDescent="0.3">
      <c r="A9" s="50">
        <v>8</v>
      </c>
      <c r="B9" s="50" t="s">
        <v>628</v>
      </c>
      <c r="C9" s="61" t="s">
        <v>1291</v>
      </c>
      <c r="D9" s="23" t="s">
        <v>172</v>
      </c>
      <c r="E9" s="58" t="str">
        <f>VLOOKUP(D9,all_countries!D:E,2,0)</f>
        <v>🇧🇳</v>
      </c>
      <c r="F9" s="58" t="str">
        <f>VLOOKUP(D9,Сountries!V:Z,2,0)</f>
        <v>Oceania</v>
      </c>
      <c r="G9" s="52">
        <v>85268</v>
      </c>
      <c r="H9" s="52">
        <v>32963</v>
      </c>
      <c r="I9" s="57">
        <v>3.73</v>
      </c>
    </row>
    <row r="10" spans="1:9" x14ac:dyDescent="0.3">
      <c r="A10" s="50">
        <v>9</v>
      </c>
      <c r="B10" s="50" t="s">
        <v>625</v>
      </c>
      <c r="C10" s="61" t="s">
        <v>497</v>
      </c>
      <c r="D10" s="23" t="s">
        <v>6</v>
      </c>
      <c r="E10" s="58" t="str">
        <f>VLOOKUP(D10,all_countries!D:E,2,0)</f>
        <v>🇺🇸</v>
      </c>
      <c r="F10" s="58" t="str">
        <f>VLOOKUP(D10,Сountries!V:Z,2,0)</f>
        <v>America</v>
      </c>
      <c r="G10" s="52">
        <v>82769</v>
      </c>
      <c r="H10" s="52">
        <v>80706</v>
      </c>
      <c r="I10" s="57">
        <v>3.62</v>
      </c>
    </row>
    <row r="11" spans="1:9" x14ac:dyDescent="0.3">
      <c r="A11" s="50">
        <v>10</v>
      </c>
      <c r="B11" s="50" t="s">
        <v>626</v>
      </c>
      <c r="C11" s="61" t="s">
        <v>569</v>
      </c>
      <c r="D11" s="23" t="s">
        <v>73</v>
      </c>
      <c r="E11" s="58" t="str">
        <f>VLOOKUP(D11,all_countries!D:E,2,0)</f>
        <v>🇳🇱</v>
      </c>
      <c r="F11" s="58" t="str">
        <f>VLOOKUP(D11,Сountries!V:Z,2,0)</f>
        <v>Europe</v>
      </c>
      <c r="G11" s="52">
        <v>78103</v>
      </c>
      <c r="H11" s="52">
        <v>63803</v>
      </c>
      <c r="I11" s="57">
        <v>3.42</v>
      </c>
    </row>
    <row r="12" spans="1:9" x14ac:dyDescent="0.3">
      <c r="A12" s="50">
        <v>11</v>
      </c>
      <c r="B12" s="50" t="s">
        <v>626</v>
      </c>
      <c r="C12" s="61" t="s">
        <v>1294</v>
      </c>
      <c r="D12" s="23" t="s">
        <v>175</v>
      </c>
      <c r="E12" s="58" t="str">
        <f>VLOOKUP(D12,all_countries!D:E,2,0)</f>
        <v>🇮🇸</v>
      </c>
      <c r="F12" s="58" t="str">
        <f>VLOOKUP(D12,Сountries!V:Z,2,0)</f>
        <v>Europe</v>
      </c>
      <c r="G12" s="52">
        <v>76159</v>
      </c>
      <c r="H12" s="52">
        <v>80827</v>
      </c>
      <c r="I12" s="57">
        <v>3.33</v>
      </c>
    </row>
    <row r="13" spans="1:9" x14ac:dyDescent="0.3">
      <c r="A13" s="50">
        <v>12</v>
      </c>
      <c r="B13" s="50" t="s">
        <v>624</v>
      </c>
      <c r="C13" s="61" t="s">
        <v>517</v>
      </c>
      <c r="D13" s="23" t="s">
        <v>88</v>
      </c>
      <c r="E13" s="58" t="str">
        <f>VLOOKUP(D13,all_countries!D:E,2,0)</f>
        <v>🇦🇪</v>
      </c>
      <c r="F13" s="58" t="str">
        <f>VLOOKUP(D13,Сountries!V:Z,2,0)</f>
        <v>Asia</v>
      </c>
      <c r="G13" s="52">
        <v>76110</v>
      </c>
      <c r="H13" s="52">
        <v>48311</v>
      </c>
      <c r="I13" s="57">
        <v>3.33</v>
      </c>
    </row>
    <row r="14" spans="1:9" x14ac:dyDescent="0.3">
      <c r="A14" s="50">
        <v>13</v>
      </c>
      <c r="B14" s="50" t="s">
        <v>626</v>
      </c>
      <c r="C14" s="61" t="s">
        <v>1240</v>
      </c>
      <c r="D14" s="23" t="s">
        <v>115</v>
      </c>
      <c r="E14" s="58" t="str">
        <f>VLOOKUP(D14,all_countries!D:E,2,0)</f>
        <v>🇩🇰</v>
      </c>
      <c r="F14" s="58" t="str">
        <f>VLOOKUP(D14,Сountries!V:Z,2,0)</f>
        <v>Europe</v>
      </c>
      <c r="G14" s="52">
        <v>73547</v>
      </c>
      <c r="H14" s="52">
        <v>68440</v>
      </c>
      <c r="I14" s="57">
        <v>3.22</v>
      </c>
    </row>
    <row r="15" spans="1:9" x14ac:dyDescent="0.3">
      <c r="A15" s="50">
        <v>14</v>
      </c>
      <c r="B15" s="50" t="s">
        <v>626</v>
      </c>
      <c r="C15" s="61" t="s">
        <v>1307</v>
      </c>
      <c r="D15" s="23" t="s">
        <v>188</v>
      </c>
      <c r="E15" s="58" t="str">
        <f>VLOOKUP(D15,all_countries!D:E,2,0)</f>
        <v>🇦🇩</v>
      </c>
      <c r="F15" s="58" t="str">
        <f>VLOOKUP(D15,Сountries!V:Z,2,0)</f>
        <v>Europe</v>
      </c>
      <c r="G15" s="52">
        <v>71731</v>
      </c>
      <c r="H15" s="52">
        <v>46812</v>
      </c>
      <c r="I15" s="57">
        <v>3.14</v>
      </c>
    </row>
    <row r="16" spans="1:9" x14ac:dyDescent="0.3">
      <c r="A16" s="50">
        <v>15</v>
      </c>
      <c r="B16" s="50" t="s">
        <v>624</v>
      </c>
      <c r="C16" s="61" t="s">
        <v>1332</v>
      </c>
      <c r="D16" s="23" t="s">
        <v>306</v>
      </c>
      <c r="E16" s="58" t="str">
        <f>VLOOKUP(D16,all_countries!D:E,2,0)</f>
        <v>🇭🇰</v>
      </c>
      <c r="F16" s="58" t="str">
        <f>VLOOKUP(D16,Сountries!V:Z,2,0)</f>
        <v>Asia</v>
      </c>
      <c r="G16" s="52">
        <v>71549</v>
      </c>
      <c r="H16" s="52">
        <v>51166</v>
      </c>
      <c r="I16" s="57">
        <v>3.13</v>
      </c>
    </row>
    <row r="17" spans="1:9" x14ac:dyDescent="0.3">
      <c r="A17" s="50">
        <v>16</v>
      </c>
      <c r="B17" s="50" t="s">
        <v>620</v>
      </c>
      <c r="C17" s="61" t="s">
        <v>597</v>
      </c>
      <c r="D17" s="23" t="s">
        <v>58</v>
      </c>
      <c r="E17" s="58" t="str">
        <f>VLOOKUP(D17,all_countries!D:E,2,0)</f>
        <v>🇦🇺</v>
      </c>
      <c r="F17" s="58" t="str">
        <f>VLOOKUP(D17,Сountries!V:Z,2,0)</f>
        <v>Australia and New Zealand</v>
      </c>
      <c r="G17" s="52">
        <v>70340</v>
      </c>
      <c r="H17" s="52">
        <v>65330</v>
      </c>
      <c r="I17" s="57">
        <v>3.08</v>
      </c>
    </row>
    <row r="18" spans="1:9" x14ac:dyDescent="0.3">
      <c r="A18" s="50">
        <v>17</v>
      </c>
      <c r="B18" s="50" t="s">
        <v>626</v>
      </c>
      <c r="C18" s="61" t="s">
        <v>557</v>
      </c>
      <c r="D18" s="23" t="s">
        <v>101</v>
      </c>
      <c r="E18" s="58" t="str">
        <f>VLOOKUP(D18,all_countries!D:E,2,0)</f>
        <v>🇦🇹</v>
      </c>
      <c r="F18" s="58" t="str">
        <f>VLOOKUP(D18,Сountries!V:Z,2,0)</f>
        <v>Europe</v>
      </c>
      <c r="G18" s="52">
        <v>70297</v>
      </c>
      <c r="H18" s="52">
        <v>56042</v>
      </c>
      <c r="I18" s="57">
        <v>3.08</v>
      </c>
    </row>
    <row r="19" spans="1:9" x14ac:dyDescent="0.3">
      <c r="A19" s="50">
        <v>18</v>
      </c>
      <c r="B19" s="50" t="s">
        <v>626</v>
      </c>
      <c r="C19" s="61" t="s">
        <v>513</v>
      </c>
      <c r="D19" s="23" t="s">
        <v>22</v>
      </c>
      <c r="E19" s="58" t="str">
        <f>VLOOKUP(D19,all_countries!D:E,2,0)</f>
        <v>🇩🇪</v>
      </c>
      <c r="F19" s="58" t="str">
        <f>VLOOKUP(D19,Сountries!V:Z,2,0)</f>
        <v>Europe</v>
      </c>
      <c r="G19" s="52">
        <v>69027</v>
      </c>
      <c r="H19" s="52">
        <v>53528</v>
      </c>
      <c r="I19" s="57">
        <v>3.02</v>
      </c>
    </row>
    <row r="20" spans="1:9" x14ac:dyDescent="0.3">
      <c r="A20" s="50">
        <v>19</v>
      </c>
      <c r="B20" s="50" t="s">
        <v>626</v>
      </c>
      <c r="C20" s="61" t="s">
        <v>581</v>
      </c>
      <c r="D20" s="23" t="s">
        <v>85</v>
      </c>
      <c r="E20" s="58" t="str">
        <f>VLOOKUP(D20,all_countries!D:E,2,0)</f>
        <v>🇧🇪</v>
      </c>
      <c r="F20" s="58" t="str">
        <f>VLOOKUP(D20,Сountries!V:Z,2,0)</f>
        <v>Europe</v>
      </c>
      <c r="G20" s="52">
        <v>68894</v>
      </c>
      <c r="H20" s="52">
        <v>55049</v>
      </c>
      <c r="I20" s="57">
        <v>3.02</v>
      </c>
    </row>
    <row r="21" spans="1:9" x14ac:dyDescent="0.3">
      <c r="A21" s="50">
        <v>20</v>
      </c>
      <c r="B21" s="50" t="s">
        <v>626</v>
      </c>
      <c r="C21" s="61" t="s">
        <v>589</v>
      </c>
      <c r="D21" s="23" t="s">
        <v>93</v>
      </c>
      <c r="E21" s="58" t="str">
        <f>VLOOKUP(D21,all_countries!D:E,2,0)</f>
        <v>🇸🇪</v>
      </c>
      <c r="F21" s="58" t="str">
        <f>VLOOKUP(D21,Сountries!V:Z,2,0)</f>
        <v>Europe</v>
      </c>
      <c r="G21" s="52">
        <v>67024</v>
      </c>
      <c r="H21" s="52">
        <v>55439</v>
      </c>
      <c r="I21" s="57">
        <v>2.93</v>
      </c>
    </row>
    <row r="22" spans="1:9" x14ac:dyDescent="0.3">
      <c r="A22" s="50">
        <v>21</v>
      </c>
      <c r="B22" s="50" t="s">
        <v>624</v>
      </c>
      <c r="C22" s="61" t="s">
        <v>1275</v>
      </c>
      <c r="D22" s="23" t="s">
        <v>153</v>
      </c>
      <c r="E22" s="58" t="str">
        <f>VLOOKUP(D22,all_countries!D:E,2,0)</f>
        <v>🇧🇭</v>
      </c>
      <c r="F22" s="58" t="str">
        <f>VLOOKUP(D22,Сountries!V:Z,2,0)</f>
        <v>Asia</v>
      </c>
      <c r="G22" s="52">
        <v>63498</v>
      </c>
      <c r="H22" s="52">
        <v>29356</v>
      </c>
      <c r="I22" s="57">
        <v>2.78</v>
      </c>
    </row>
    <row r="23" spans="1:9" x14ac:dyDescent="0.3">
      <c r="A23" s="50">
        <v>22</v>
      </c>
      <c r="B23" s="50" t="s">
        <v>625</v>
      </c>
      <c r="C23" s="61" t="s">
        <v>534</v>
      </c>
      <c r="D23" s="23" t="s">
        <v>41</v>
      </c>
      <c r="E23" s="58" t="str">
        <f>VLOOKUP(D23,all_countries!D:E,2,0)</f>
        <v>🇨🇦</v>
      </c>
      <c r="F23" s="58" t="str">
        <f>VLOOKUP(D23,Сountries!V:Z,2,0)</f>
        <v>America</v>
      </c>
      <c r="G23" s="52">
        <v>63419</v>
      </c>
      <c r="H23" s="52">
        <v>54517</v>
      </c>
      <c r="I23" s="57">
        <v>2.78</v>
      </c>
    </row>
    <row r="24" spans="1:9" x14ac:dyDescent="0.3">
      <c r="A24" s="50">
        <v>23</v>
      </c>
      <c r="B24" s="50" t="s">
        <v>626</v>
      </c>
      <c r="C24" s="61" t="s">
        <v>544</v>
      </c>
      <c r="D24" s="23" t="s">
        <v>169</v>
      </c>
      <c r="E24" s="58" t="str">
        <f>VLOOKUP(D24,all_countries!D:E,2,0)</f>
        <v>🇲🇹</v>
      </c>
      <c r="F24" s="58" t="str">
        <f>VLOOKUP(D24,Сountries!V:Z,2,0)</f>
        <v>Europe</v>
      </c>
      <c r="G24" s="52">
        <v>63256</v>
      </c>
      <c r="H24" s="52">
        <v>41896</v>
      </c>
      <c r="I24" s="57">
        <v>2.77</v>
      </c>
    </row>
    <row r="25" spans="1:9" x14ac:dyDescent="0.3">
      <c r="A25" s="50">
        <v>24</v>
      </c>
      <c r="B25" s="50" t="s">
        <v>626</v>
      </c>
      <c r="C25" s="61" t="s">
        <v>1244</v>
      </c>
      <c r="D25" s="23" t="s">
        <v>119</v>
      </c>
      <c r="E25" s="58" t="str">
        <f>VLOOKUP(D25,all_countries!D:E,2,0)</f>
        <v>🇫🇮</v>
      </c>
      <c r="F25" s="58" t="str">
        <f>VLOOKUP(D25,Сountries!V:Z,2,0)</f>
        <v>Europe</v>
      </c>
      <c r="G25" s="52">
        <v>61575</v>
      </c>
      <c r="H25" s="52">
        <v>52762</v>
      </c>
      <c r="I25" s="57">
        <v>2.7</v>
      </c>
    </row>
    <row r="26" spans="1:9" x14ac:dyDescent="0.3">
      <c r="A26" s="50">
        <v>25</v>
      </c>
      <c r="B26" s="50" t="s">
        <v>624</v>
      </c>
      <c r="C26" s="61" t="s">
        <v>551</v>
      </c>
      <c r="D26" s="23" t="s">
        <v>51</v>
      </c>
      <c r="E26" s="58" t="str">
        <f>VLOOKUP(D26,all_countries!D:E,2,0)</f>
        <v>🇸🇦</v>
      </c>
      <c r="F26" s="58" t="str">
        <f>VLOOKUP(D26,Сountries!V:Z,2,0)</f>
        <v>Asia</v>
      </c>
      <c r="G26" s="52">
        <v>61103</v>
      </c>
      <c r="H26" s="52">
        <v>32094</v>
      </c>
      <c r="I26" s="57">
        <v>2.68</v>
      </c>
    </row>
    <row r="27" spans="1:9" x14ac:dyDescent="0.3">
      <c r="A27" s="50">
        <v>26</v>
      </c>
      <c r="B27" s="50" t="s">
        <v>626</v>
      </c>
      <c r="C27" s="61" t="s">
        <v>516</v>
      </c>
      <c r="D27" s="23" t="s">
        <v>25</v>
      </c>
      <c r="E27" s="58" t="str">
        <f>VLOOKUP(D27,all_countries!D:E,2,0)</f>
        <v>🇬🇧</v>
      </c>
      <c r="F27" s="58" t="str">
        <f>VLOOKUP(D27,Сountries!V:Z,2,0)</f>
        <v>Europe</v>
      </c>
      <c r="G27" s="52">
        <v>58273</v>
      </c>
      <c r="H27" s="52">
        <v>49224</v>
      </c>
      <c r="I27" s="57">
        <v>2.5499999999999998</v>
      </c>
    </row>
    <row r="28" spans="1:9" x14ac:dyDescent="0.3">
      <c r="A28" s="50">
        <v>27</v>
      </c>
      <c r="B28" s="50" t="s">
        <v>626</v>
      </c>
      <c r="C28" s="61" t="s">
        <v>519</v>
      </c>
      <c r="D28" s="23" t="s">
        <v>26</v>
      </c>
      <c r="E28" s="58" t="str">
        <f>VLOOKUP(D28,all_countries!D:E,2,0)</f>
        <v>🇫🇷</v>
      </c>
      <c r="F28" s="58" t="str">
        <f>VLOOKUP(D28,Сountries!V:Z,2,0)</f>
        <v>Europe</v>
      </c>
      <c r="G28" s="52">
        <v>58167</v>
      </c>
      <c r="H28" s="52">
        <v>45934</v>
      </c>
      <c r="I28" s="57">
        <v>2.5499999999999998</v>
      </c>
    </row>
    <row r="29" spans="1:9" x14ac:dyDescent="0.3">
      <c r="A29" s="50">
        <v>28</v>
      </c>
      <c r="B29" s="50" t="s">
        <v>626</v>
      </c>
      <c r="C29" s="61" t="s">
        <v>521</v>
      </c>
      <c r="D29" s="23" t="s">
        <v>28</v>
      </c>
      <c r="E29" s="58" t="str">
        <f>VLOOKUP(D29,all_countries!D:E,2,0)</f>
        <v>🇮🇹</v>
      </c>
      <c r="F29" s="58" t="str">
        <f>VLOOKUP(D29,Сountries!V:Z,2,0)</f>
        <v>Europe</v>
      </c>
      <c r="G29" s="52">
        <v>57652</v>
      </c>
      <c r="H29" s="52">
        <v>38672</v>
      </c>
      <c r="I29" s="57">
        <v>2.52</v>
      </c>
    </row>
    <row r="30" spans="1:9" x14ac:dyDescent="0.3">
      <c r="A30" s="50">
        <v>29</v>
      </c>
      <c r="B30" s="50" t="s">
        <v>624</v>
      </c>
      <c r="C30" s="61" t="s">
        <v>1278</v>
      </c>
      <c r="D30" s="23" t="s">
        <v>156</v>
      </c>
      <c r="E30" s="58" t="str">
        <f>VLOOKUP(D30,all_countries!D:E,2,0)</f>
        <v>🇨🇾</v>
      </c>
      <c r="F30" s="58" t="str">
        <f>VLOOKUP(D30,Сountries!V:Z,2,0)</f>
        <v>Asia</v>
      </c>
      <c r="G30" s="52">
        <v>57066</v>
      </c>
      <c r="H30" s="52">
        <v>25195</v>
      </c>
      <c r="I30" s="57">
        <v>2.5</v>
      </c>
    </row>
    <row r="31" spans="1:9" x14ac:dyDescent="0.3">
      <c r="A31" s="50">
        <v>30</v>
      </c>
      <c r="B31" s="50" t="s">
        <v>625</v>
      </c>
      <c r="C31" s="61" t="s">
        <v>1285</v>
      </c>
      <c r="D31" s="23" t="s">
        <v>164</v>
      </c>
      <c r="E31" s="58" t="str">
        <f>VLOOKUP(D31,all_countries!D:E,2,0)</f>
        <v>🇬🇾</v>
      </c>
      <c r="F31" s="58" t="str">
        <f>VLOOKUP(D31,Сountries!V:Z,2,0)</f>
        <v>America</v>
      </c>
      <c r="G31" s="52">
        <v>54732</v>
      </c>
      <c r="H31" s="52">
        <v>20765</v>
      </c>
      <c r="I31" s="57">
        <v>2.4</v>
      </c>
    </row>
    <row r="32" spans="1:9" x14ac:dyDescent="0.3">
      <c r="A32" s="50">
        <v>31</v>
      </c>
      <c r="B32" s="50" t="s">
        <v>624</v>
      </c>
      <c r="C32" s="61" t="s">
        <v>596</v>
      </c>
      <c r="D32" s="23" t="s">
        <v>100</v>
      </c>
      <c r="E32" s="58" t="str">
        <f>VLOOKUP(D32,all_countries!D:E,2,0)</f>
        <v>🇮🇱</v>
      </c>
      <c r="F32" s="58" t="str">
        <f>VLOOKUP(D32,Сountries!V:Z,2,0)</f>
        <v>Asia</v>
      </c>
      <c r="G32" s="52">
        <v>54128</v>
      </c>
      <c r="H32" s="52">
        <v>55488</v>
      </c>
      <c r="I32" s="57">
        <v>2.37</v>
      </c>
    </row>
    <row r="33" spans="1:9" x14ac:dyDescent="0.3">
      <c r="A33" s="50">
        <v>32</v>
      </c>
      <c r="B33" s="50" t="s">
        <v>626</v>
      </c>
      <c r="C33" s="61" t="s">
        <v>1271</v>
      </c>
      <c r="D33" s="23" t="s">
        <v>149</v>
      </c>
      <c r="E33" s="58" t="str">
        <f>VLOOKUP(D33,all_countries!D:E,2,0)</f>
        <v>🇸🇮</v>
      </c>
      <c r="F33" s="58" t="str">
        <f>VLOOKUP(D33,Сountries!V:Z,2,0)</f>
        <v>Europe</v>
      </c>
      <c r="G33" s="52">
        <v>53813</v>
      </c>
      <c r="H33" s="52">
        <v>32642</v>
      </c>
      <c r="I33" s="57">
        <v>2.36</v>
      </c>
    </row>
    <row r="34" spans="1:9" x14ac:dyDescent="0.3">
      <c r="A34" s="50">
        <v>33</v>
      </c>
      <c r="B34" s="50" t="s">
        <v>620</v>
      </c>
      <c r="C34" s="61" t="s">
        <v>1250</v>
      </c>
      <c r="D34" s="23" t="s">
        <v>127</v>
      </c>
      <c r="E34" s="58" t="str">
        <f>VLOOKUP(D34,all_countries!D:E,2,0)</f>
        <v>🇳🇿</v>
      </c>
      <c r="F34" s="58" t="str">
        <f>VLOOKUP(D34,Сountries!V:Z,2,0)</f>
        <v>Australia and New Zealand</v>
      </c>
      <c r="G34" s="52">
        <v>53481</v>
      </c>
      <c r="H34" s="52">
        <v>48750</v>
      </c>
      <c r="I34" s="57">
        <v>2.34</v>
      </c>
    </row>
    <row r="35" spans="1:9" x14ac:dyDescent="0.3">
      <c r="A35" s="50">
        <v>34</v>
      </c>
      <c r="B35" s="50" t="s">
        <v>626</v>
      </c>
      <c r="C35" s="61" t="s">
        <v>528</v>
      </c>
      <c r="D35" s="23" t="s">
        <v>35</v>
      </c>
      <c r="E35" s="58" t="str">
        <f>VLOOKUP(D35,all_countries!D:E,2,0)</f>
        <v>🇪🇸</v>
      </c>
      <c r="F35" s="58" t="str">
        <f>VLOOKUP(D35,Сountries!V:Z,2,0)</f>
        <v>Europe</v>
      </c>
      <c r="G35" s="52">
        <v>53092</v>
      </c>
      <c r="H35" s="52">
        <v>33814</v>
      </c>
      <c r="I35" s="57">
        <v>2.3199999999999998</v>
      </c>
    </row>
    <row r="36" spans="1:9" x14ac:dyDescent="0.3">
      <c r="A36" s="50">
        <v>35</v>
      </c>
      <c r="B36" s="50" t="s">
        <v>626</v>
      </c>
      <c r="C36" s="61" t="s">
        <v>590</v>
      </c>
      <c r="D36" s="23" t="s">
        <v>1320</v>
      </c>
      <c r="E36" s="58" t="str">
        <f>VLOOKUP(D36,all_countries!D:E,2,0)</f>
        <v>🇨🇿</v>
      </c>
      <c r="F36" s="58" t="str">
        <f>VLOOKUP(D36,Сountries!V:Z,2,0)</f>
        <v>Europe</v>
      </c>
      <c r="G36" s="52">
        <v>53080</v>
      </c>
      <c r="H36" s="52">
        <v>31750</v>
      </c>
      <c r="I36" s="57">
        <v>2.3199999999999998</v>
      </c>
    </row>
    <row r="37" spans="1:9" x14ac:dyDescent="0.3">
      <c r="A37" s="50">
        <v>36</v>
      </c>
      <c r="B37" s="50" t="s">
        <v>624</v>
      </c>
      <c r="C37" s="61" t="s">
        <v>524</v>
      </c>
      <c r="D37" s="23" t="s">
        <v>32</v>
      </c>
      <c r="E37" s="58" t="str">
        <f>VLOOKUP(D37,all_countries!D:E,2,0)</f>
        <v>🇰🇷</v>
      </c>
      <c r="F37" s="58" t="str">
        <f>VLOOKUP(D37,Сountries!V:Z,2,0)</f>
        <v>Asia</v>
      </c>
      <c r="G37" s="52">
        <v>51713</v>
      </c>
      <c r="H37" s="52">
        <v>33098</v>
      </c>
      <c r="I37" s="57">
        <v>2.2599999999999998</v>
      </c>
    </row>
    <row r="38" spans="1:9" x14ac:dyDescent="0.3">
      <c r="A38" s="50">
        <v>37</v>
      </c>
      <c r="B38" s="50" t="s">
        <v>624</v>
      </c>
      <c r="C38" s="61" t="s">
        <v>1252</v>
      </c>
      <c r="D38" s="23" t="s">
        <v>129</v>
      </c>
      <c r="E38" s="58" t="str">
        <f>VLOOKUP(D38,all_countries!D:E,2,0)</f>
        <v>🇰🇼</v>
      </c>
      <c r="F38" s="58" t="str">
        <f>VLOOKUP(D38,Сountries!V:Z,2,0)</f>
        <v>Asia</v>
      </c>
      <c r="G38" s="52">
        <v>51561</v>
      </c>
      <c r="H38" s="52">
        <v>33832</v>
      </c>
      <c r="I38" s="57">
        <v>2.2599999999999998</v>
      </c>
    </row>
    <row r="39" spans="1:9" x14ac:dyDescent="0.3">
      <c r="A39" s="50">
        <v>38</v>
      </c>
      <c r="B39" s="50" t="s">
        <v>626</v>
      </c>
      <c r="C39" s="61" t="s">
        <v>1264</v>
      </c>
      <c r="D39" s="23" t="s">
        <v>142</v>
      </c>
      <c r="E39" s="58" t="str">
        <f>VLOOKUP(D39,all_countries!D:E,2,0)</f>
        <v>🇱🇹</v>
      </c>
      <c r="F39" s="58" t="str">
        <f>VLOOKUP(D39,Сountries!V:Z,2,0)</f>
        <v>Europe</v>
      </c>
      <c r="G39" s="52">
        <v>50783</v>
      </c>
      <c r="H39" s="52">
        <v>27956</v>
      </c>
      <c r="I39" s="57">
        <v>2.2200000000000002</v>
      </c>
    </row>
    <row r="40" spans="1:9" x14ac:dyDescent="0.3">
      <c r="A40" s="50">
        <v>39</v>
      </c>
      <c r="B40" s="50" t="s">
        <v>624</v>
      </c>
      <c r="C40" s="61" t="s">
        <v>506</v>
      </c>
      <c r="D40" s="23" t="s">
        <v>15</v>
      </c>
      <c r="E40" s="58" t="str">
        <f>VLOOKUP(D40,all_countries!D:E,2,0)</f>
        <v>🇯🇵</v>
      </c>
      <c r="F40" s="58" t="str">
        <f>VLOOKUP(D40,Сountries!V:Z,2,0)</f>
        <v>Asia</v>
      </c>
      <c r="G40" s="52">
        <v>49885</v>
      </c>
      <c r="H40" s="52">
        <v>33806</v>
      </c>
      <c r="I40" s="57">
        <v>2.1800000000000002</v>
      </c>
    </row>
    <row r="41" spans="1:9" x14ac:dyDescent="0.3">
      <c r="A41" s="50">
        <v>40</v>
      </c>
      <c r="B41" s="50" t="s">
        <v>626</v>
      </c>
      <c r="C41" s="61" t="s">
        <v>591</v>
      </c>
      <c r="D41" s="23" t="s">
        <v>95</v>
      </c>
      <c r="E41" s="58" t="str">
        <f>VLOOKUP(D41,all_countries!D:E,2,0)</f>
        <v>🇵🇹</v>
      </c>
      <c r="F41" s="58" t="str">
        <f>VLOOKUP(D41,Сountries!V:Z,2,0)</f>
        <v>Europe</v>
      </c>
      <c r="G41" s="52">
        <v>47209</v>
      </c>
      <c r="H41" s="52">
        <v>27718</v>
      </c>
      <c r="I41" s="57">
        <v>2.0699999999999998</v>
      </c>
    </row>
    <row r="42" spans="1:9" x14ac:dyDescent="0.3">
      <c r="A42" s="50">
        <v>41</v>
      </c>
      <c r="B42" s="50" t="s">
        <v>626</v>
      </c>
      <c r="C42" s="61" t="s">
        <v>1279</v>
      </c>
      <c r="D42" s="23" t="s">
        <v>157</v>
      </c>
      <c r="E42" s="58" t="str">
        <f>VLOOKUP(D42,all_countries!D:E,2,0)</f>
        <v>🇪🇪</v>
      </c>
      <c r="F42" s="58" t="str">
        <f>VLOOKUP(D42,Сountries!V:Z,2,0)</f>
        <v>Europe</v>
      </c>
      <c r="G42" s="52">
        <v>46669</v>
      </c>
      <c r="H42" s="52">
        <v>30201</v>
      </c>
      <c r="I42" s="57">
        <v>2.04</v>
      </c>
    </row>
    <row r="43" spans="1:9" x14ac:dyDescent="0.3">
      <c r="A43" s="50">
        <v>42</v>
      </c>
      <c r="B43" s="50" t="s">
        <v>626</v>
      </c>
      <c r="C43" s="61" t="s">
        <v>538</v>
      </c>
      <c r="D43" s="23" t="s">
        <v>45</v>
      </c>
      <c r="E43" s="58" t="str">
        <f>VLOOKUP(D43,all_countries!D:E,2,0)</f>
        <v>🇵🇱</v>
      </c>
      <c r="F43" s="58" t="str">
        <f>VLOOKUP(D43,Сountries!V:Z,2,0)</f>
        <v>Europe</v>
      </c>
      <c r="G43" s="52">
        <v>46450</v>
      </c>
      <c r="H43" s="52">
        <v>20876</v>
      </c>
      <c r="I43" s="57">
        <v>2.0299999999999998</v>
      </c>
    </row>
    <row r="44" spans="1:9" x14ac:dyDescent="0.3">
      <c r="A44" s="50">
        <v>43</v>
      </c>
      <c r="B44" s="50" t="s">
        <v>626</v>
      </c>
      <c r="C44" s="61" t="s">
        <v>567</v>
      </c>
      <c r="D44" s="23" t="s">
        <v>71</v>
      </c>
      <c r="E44" s="58" t="str">
        <f>VLOOKUP(D44,all_countries!D:E,2,0)</f>
        <v>🇷🇴</v>
      </c>
      <c r="F44" s="58" t="str">
        <f>VLOOKUP(D44,Сountries!V:Z,2,0)</f>
        <v>Europe</v>
      </c>
      <c r="G44" s="52">
        <v>45659</v>
      </c>
      <c r="H44" s="52">
        <v>18347</v>
      </c>
      <c r="I44" s="57">
        <v>2</v>
      </c>
    </row>
    <row r="45" spans="1:9" x14ac:dyDescent="0.3">
      <c r="A45" s="50">
        <v>44</v>
      </c>
      <c r="B45" s="50" t="s">
        <v>626</v>
      </c>
      <c r="C45" s="61" t="s">
        <v>1254</v>
      </c>
      <c r="D45" s="23" t="s">
        <v>131</v>
      </c>
      <c r="E45" s="58" t="str">
        <f>VLOOKUP(D45,all_countries!D:E,2,0)</f>
        <v>🇭🇷</v>
      </c>
      <c r="F45" s="58" t="str">
        <f>VLOOKUP(D45,Сountries!V:Z,2,0)</f>
        <v>Europe</v>
      </c>
      <c r="G45" s="52">
        <v>45485</v>
      </c>
      <c r="H45" s="52">
        <v>21662</v>
      </c>
      <c r="I45" s="57">
        <v>1.99</v>
      </c>
    </row>
    <row r="46" spans="1:9" x14ac:dyDescent="0.3">
      <c r="A46" s="50">
        <v>45</v>
      </c>
      <c r="B46" s="50" t="s">
        <v>625</v>
      </c>
      <c r="C46" s="61" t="s">
        <v>1366</v>
      </c>
      <c r="D46" s="23" t="s">
        <v>413</v>
      </c>
      <c r="E46" s="58" t="str">
        <f>VLOOKUP(D46,all_countries!D:E,2,0)</f>
        <v>🇦🇼</v>
      </c>
      <c r="F46" s="58" t="str">
        <f>VLOOKUP(D46,Сountries!V:Z,2,0)</f>
        <v>America</v>
      </c>
      <c r="G46" s="52">
        <v>44967</v>
      </c>
      <c r="H46" s="52">
        <v>33802</v>
      </c>
      <c r="I46" s="57">
        <v>1.97</v>
      </c>
    </row>
    <row r="47" spans="1:9" x14ac:dyDescent="0.3">
      <c r="A47" s="50">
        <v>46</v>
      </c>
      <c r="B47" s="50" t="s">
        <v>626</v>
      </c>
      <c r="C47" s="61" t="s">
        <v>595</v>
      </c>
      <c r="D47" s="23" t="s">
        <v>99</v>
      </c>
      <c r="E47" s="58" t="str">
        <f>VLOOKUP(D47,all_countries!D:E,2,0)</f>
        <v>🇭🇺</v>
      </c>
      <c r="F47" s="58" t="str">
        <f>VLOOKUP(D47,Сountries!V:Z,2,0)</f>
        <v>Europe</v>
      </c>
      <c r="G47" s="52">
        <v>44905</v>
      </c>
      <c r="H47" s="52">
        <v>21926</v>
      </c>
      <c r="I47" s="57">
        <v>1.97</v>
      </c>
    </row>
    <row r="48" spans="1:9" x14ac:dyDescent="0.3">
      <c r="A48" s="50">
        <v>47</v>
      </c>
      <c r="B48" s="50" t="s">
        <v>626</v>
      </c>
      <c r="C48" s="61" t="s">
        <v>503</v>
      </c>
      <c r="D48" s="23" t="s">
        <v>984</v>
      </c>
      <c r="E48" s="58" t="str">
        <f>VLOOKUP(D48,all_countries!D:E,2,0)</f>
        <v>🇷🇺</v>
      </c>
      <c r="F48" s="58" t="str">
        <f>VLOOKUP(D48,Сountries!V:Z,2,0)</f>
        <v>Europe</v>
      </c>
      <c r="G48" s="52">
        <v>44120</v>
      </c>
      <c r="H48" s="52">
        <v>13899</v>
      </c>
      <c r="I48" s="57">
        <v>1.93</v>
      </c>
    </row>
    <row r="49" spans="1:9" x14ac:dyDescent="0.3">
      <c r="A49" s="50">
        <v>48</v>
      </c>
      <c r="B49" s="50" t="s">
        <v>626</v>
      </c>
      <c r="C49" s="61" t="s">
        <v>1248</v>
      </c>
      <c r="D49" s="23" t="s">
        <v>124</v>
      </c>
      <c r="E49" s="58" t="str">
        <f>VLOOKUP(D49,all_countries!D:E,2,0)</f>
        <v>🇸🇰</v>
      </c>
      <c r="F49" s="58" t="str">
        <f>VLOOKUP(D49,Сountries!V:Z,2,0)</f>
        <v>Europe</v>
      </c>
      <c r="G49" s="52">
        <v>43513</v>
      </c>
      <c r="H49" s="52">
        <v>24086</v>
      </c>
      <c r="I49" s="57">
        <v>1.91</v>
      </c>
    </row>
    <row r="50" spans="1:9" x14ac:dyDescent="0.3">
      <c r="A50" s="50">
        <v>49</v>
      </c>
      <c r="B50" s="50" t="s">
        <v>624</v>
      </c>
      <c r="C50" s="61" t="s">
        <v>1247</v>
      </c>
      <c r="D50" s="23" t="s">
        <v>123</v>
      </c>
      <c r="E50" s="58" t="str">
        <f>VLOOKUP(D50,all_countries!D:E,2,0)</f>
        <v>🇴🇲</v>
      </c>
      <c r="F50" s="58" t="str">
        <f>VLOOKUP(D50,Сountries!V:Z,2,0)</f>
        <v>Asia</v>
      </c>
      <c r="G50" s="52">
        <v>42520</v>
      </c>
      <c r="H50" s="52">
        <v>21550</v>
      </c>
      <c r="I50" s="57">
        <v>1.86</v>
      </c>
    </row>
    <row r="51" spans="1:9" x14ac:dyDescent="0.3">
      <c r="A51" s="50">
        <v>50</v>
      </c>
      <c r="B51" s="50" t="s">
        <v>624</v>
      </c>
      <c r="C51" s="61" t="s">
        <v>512</v>
      </c>
      <c r="D51" s="23" t="s">
        <v>21</v>
      </c>
      <c r="E51" s="58" t="str">
        <f>VLOOKUP(D51,all_countries!D:E,2,0)</f>
        <v>🇹🇷</v>
      </c>
      <c r="F51" s="58" t="str">
        <f>VLOOKUP(D51,Сountries!V:Z,2,0)</f>
        <v>Asia</v>
      </c>
      <c r="G51" s="52">
        <v>42217</v>
      </c>
      <c r="H51" s="52">
        <v>12814</v>
      </c>
      <c r="I51" s="57">
        <v>1.85</v>
      </c>
    </row>
    <row r="52" spans="1:9" x14ac:dyDescent="0.3">
      <c r="A52" s="50">
        <v>51</v>
      </c>
      <c r="B52" s="50" t="s">
        <v>626</v>
      </c>
      <c r="C52" s="61" t="s">
        <v>1273</v>
      </c>
      <c r="D52" s="23" t="s">
        <v>151</v>
      </c>
      <c r="E52" s="58" t="str">
        <f>VLOOKUP(D52,all_countries!D:E,2,0)</f>
        <v>🇱🇻</v>
      </c>
      <c r="F52" s="58" t="str">
        <f>VLOOKUP(D52,Сountries!V:Z,2,0)</f>
        <v>Europe</v>
      </c>
      <c r="G52" s="52">
        <v>41384</v>
      </c>
      <c r="H52" s="52">
        <v>22444</v>
      </c>
      <c r="I52" s="57">
        <v>1.81</v>
      </c>
    </row>
    <row r="53" spans="1:9" x14ac:dyDescent="0.3">
      <c r="A53" s="50">
        <v>52</v>
      </c>
      <c r="B53" s="50" t="s">
        <v>626</v>
      </c>
      <c r="C53" s="61" t="s">
        <v>593</v>
      </c>
      <c r="D53" s="23" t="s">
        <v>97</v>
      </c>
      <c r="E53" s="58" t="str">
        <f>VLOOKUP(D53,all_countries!D:E,2,0)</f>
        <v>🇬🇷</v>
      </c>
      <c r="F53" s="58" t="str">
        <f>VLOOKUP(D53,Сountries!V:Z,2,0)</f>
        <v>Europe</v>
      </c>
      <c r="G53" s="52">
        <v>41076</v>
      </c>
      <c r="H53" s="52">
        <v>23772</v>
      </c>
      <c r="I53" s="57">
        <v>1.8</v>
      </c>
    </row>
    <row r="54" spans="1:9" x14ac:dyDescent="0.3">
      <c r="A54" s="50">
        <v>53</v>
      </c>
      <c r="B54" s="50" t="s">
        <v>625</v>
      </c>
      <c r="C54" s="61" t="s">
        <v>1253</v>
      </c>
      <c r="D54" s="23" t="s">
        <v>130</v>
      </c>
      <c r="E54" s="58" t="str">
        <f>VLOOKUP(D54,all_countries!D:E,2,0)</f>
        <v>🇵🇦</v>
      </c>
      <c r="F54" s="58" t="str">
        <f>VLOOKUP(D54,Сountries!V:Z,2,0)</f>
        <v>America</v>
      </c>
      <c r="G54" s="52">
        <v>39803</v>
      </c>
      <c r="H54" s="52">
        <v>18686</v>
      </c>
      <c r="I54" s="57">
        <v>1.74</v>
      </c>
    </row>
    <row r="55" spans="1:9" x14ac:dyDescent="0.3">
      <c r="A55" s="50">
        <v>54</v>
      </c>
      <c r="B55" s="50" t="s">
        <v>624</v>
      </c>
      <c r="C55" s="61" t="s">
        <v>563</v>
      </c>
      <c r="D55" s="23" t="s">
        <v>67</v>
      </c>
      <c r="E55" s="58" t="str">
        <f>VLOOKUP(D55,all_countries!D:E,2,0)</f>
        <v>🇰🇿</v>
      </c>
      <c r="F55" s="58" t="str">
        <f>VLOOKUP(D55,Сountries!V:Z,2,0)</f>
        <v>Asia</v>
      </c>
      <c r="G55" s="52">
        <v>38515</v>
      </c>
      <c r="H55" s="52">
        <v>12919</v>
      </c>
      <c r="I55" s="57">
        <v>1.69</v>
      </c>
    </row>
    <row r="56" spans="1:9" x14ac:dyDescent="0.3">
      <c r="A56" s="50">
        <v>55</v>
      </c>
      <c r="B56" s="50" t="s">
        <v>626</v>
      </c>
      <c r="C56" s="61" t="s">
        <v>1236</v>
      </c>
      <c r="D56" s="23" t="s">
        <v>111</v>
      </c>
      <c r="E56" s="58" t="str">
        <f>VLOOKUP(D56,all_countries!D:E,2,0)</f>
        <v>🇧🇬</v>
      </c>
      <c r="F56" s="58" t="str">
        <f>VLOOKUP(D56,Сountries!V:Z,2,0)</f>
        <v>Europe</v>
      </c>
      <c r="G56" s="52">
        <v>37411</v>
      </c>
      <c r="H56" s="52">
        <v>15069</v>
      </c>
      <c r="I56" s="57">
        <v>1.64</v>
      </c>
    </row>
    <row r="57" spans="1:9" x14ac:dyDescent="0.3">
      <c r="A57" s="50">
        <v>56</v>
      </c>
      <c r="B57" s="50" t="s">
        <v>628</v>
      </c>
      <c r="C57" s="61" t="s">
        <v>1293</v>
      </c>
      <c r="D57" s="23" t="s">
        <v>174</v>
      </c>
      <c r="E57" s="58" t="str">
        <f>VLOOKUP(D57,all_countries!D:E,2,0)</f>
        <v>🇧🇸</v>
      </c>
      <c r="F57" s="58" t="str">
        <f>VLOOKUP(D57,Сountries!V:Z,2,0)</f>
        <v>Oceania</v>
      </c>
      <c r="G57" s="52">
        <v>36742</v>
      </c>
      <c r="H57" s="52">
        <v>35897</v>
      </c>
      <c r="I57" s="57">
        <v>1.61</v>
      </c>
    </row>
    <row r="58" spans="1:9" x14ac:dyDescent="0.3">
      <c r="A58" s="50">
        <v>57</v>
      </c>
      <c r="B58" s="50" t="s">
        <v>624</v>
      </c>
      <c r="C58" s="61" t="s">
        <v>540</v>
      </c>
      <c r="D58" s="23" t="s">
        <v>47</v>
      </c>
      <c r="E58" s="58" t="str">
        <f>VLOOKUP(D58,all_countries!D:E,2,0)</f>
        <v>🇲🇾</v>
      </c>
      <c r="F58" s="58" t="str">
        <f>VLOOKUP(D58,Сountries!V:Z,2,0)</f>
        <v>Asia</v>
      </c>
      <c r="G58" s="52">
        <v>36417</v>
      </c>
      <c r="H58" s="52">
        <v>11379</v>
      </c>
      <c r="I58" s="57">
        <v>1.59</v>
      </c>
    </row>
    <row r="59" spans="1:9" x14ac:dyDescent="0.3">
      <c r="A59" s="50">
        <v>58</v>
      </c>
      <c r="B59" s="50" t="s">
        <v>628</v>
      </c>
      <c r="C59" s="61" t="s">
        <v>1276</v>
      </c>
      <c r="D59" s="23" t="s">
        <v>154</v>
      </c>
      <c r="E59" s="58" t="str">
        <f>VLOOKUP(D59,all_countries!D:E,2,0)</f>
        <v>🇹🇹</v>
      </c>
      <c r="F59" s="58" t="str">
        <f>VLOOKUP(D59,Сountries!V:Z,2,0)</f>
        <v>Oceania</v>
      </c>
      <c r="G59" s="52">
        <v>35189</v>
      </c>
      <c r="H59" s="52">
        <v>18213</v>
      </c>
      <c r="I59" s="57">
        <v>1.54</v>
      </c>
    </row>
    <row r="60" spans="1:9" x14ac:dyDescent="0.3">
      <c r="A60" s="50">
        <v>59</v>
      </c>
      <c r="B60" s="50" t="s">
        <v>625</v>
      </c>
      <c r="C60" s="61" t="s">
        <v>518</v>
      </c>
      <c r="D60" s="23" t="s">
        <v>135</v>
      </c>
      <c r="E60" s="58" t="str">
        <f>VLOOKUP(D60,all_countries!D:E,2,0)</f>
        <v>🇺🇾</v>
      </c>
      <c r="F60" s="58" t="str">
        <f>VLOOKUP(D60,Сountries!V:Z,2,0)</f>
        <v>America</v>
      </c>
      <c r="G60" s="52">
        <v>34427</v>
      </c>
      <c r="H60" s="52">
        <v>22798</v>
      </c>
      <c r="I60" s="57">
        <v>1.51</v>
      </c>
    </row>
    <row r="61" spans="1:9" x14ac:dyDescent="0.3">
      <c r="A61" s="50">
        <v>60</v>
      </c>
      <c r="B61" s="50" t="s">
        <v>628</v>
      </c>
      <c r="C61" s="61" t="s">
        <v>1308</v>
      </c>
      <c r="D61" s="23" t="s">
        <v>190</v>
      </c>
      <c r="E61" s="58" t="str">
        <f>VLOOKUP(D61,all_countries!D:E,2,0)</f>
        <v>🇰🇳</v>
      </c>
      <c r="F61" s="58" t="str">
        <f>VLOOKUP(D61,Сountries!V:Z,2,0)</f>
        <v>Oceania</v>
      </c>
      <c r="G61" s="52">
        <v>33750</v>
      </c>
      <c r="H61" s="52">
        <v>22574</v>
      </c>
      <c r="I61" s="57">
        <v>1.48</v>
      </c>
    </row>
    <row r="62" spans="1:9" x14ac:dyDescent="0.3">
      <c r="A62" s="50">
        <v>61</v>
      </c>
      <c r="B62" s="50" t="s">
        <v>625</v>
      </c>
      <c r="C62" s="61" t="s">
        <v>564</v>
      </c>
      <c r="D62" s="23" t="s">
        <v>68</v>
      </c>
      <c r="E62" s="58" t="str">
        <f>VLOOKUP(D62,all_countries!D:E,2,0)</f>
        <v>🇨🇱</v>
      </c>
      <c r="F62" s="58" t="str">
        <f>VLOOKUP(D62,Сountries!V:Z,2,0)</f>
        <v>America</v>
      </c>
      <c r="G62" s="52">
        <v>32893</v>
      </c>
      <c r="H62" s="52">
        <v>17068</v>
      </c>
      <c r="I62" s="57">
        <v>1.44</v>
      </c>
    </row>
    <row r="63" spans="1:9" x14ac:dyDescent="0.3">
      <c r="A63" s="50">
        <v>62</v>
      </c>
      <c r="B63" s="50" t="s">
        <v>627</v>
      </c>
      <c r="C63" s="61" t="s">
        <v>1301</v>
      </c>
      <c r="D63" s="23" t="s">
        <v>182</v>
      </c>
      <c r="E63" s="58" t="str">
        <f>VLOOKUP(D63,all_countries!D:E,2,0)</f>
        <v>🇸🇨</v>
      </c>
      <c r="F63" s="58" t="str">
        <f>VLOOKUP(D63,Сountries!V:Z,2,0)</f>
        <v>Africa</v>
      </c>
      <c r="G63" s="52">
        <v>32706</v>
      </c>
      <c r="H63" s="52">
        <v>16736</v>
      </c>
      <c r="I63" s="57">
        <v>1.43</v>
      </c>
    </row>
    <row r="64" spans="1:9" x14ac:dyDescent="0.3">
      <c r="A64" s="50">
        <v>63</v>
      </c>
      <c r="B64" s="50" t="s">
        <v>628</v>
      </c>
      <c r="C64" s="61" t="s">
        <v>1306</v>
      </c>
      <c r="D64" s="23" t="s">
        <v>187</v>
      </c>
      <c r="E64" s="58" t="str">
        <f>VLOOKUP(D64,all_countries!D:E,2,0)</f>
        <v>🇦🇬</v>
      </c>
      <c r="F64" s="58" t="str">
        <f>VLOOKUP(D64,Сountries!V:Z,2,0)</f>
        <v>Oceania</v>
      </c>
      <c r="G64" s="52">
        <v>32149</v>
      </c>
      <c r="H64" s="52">
        <v>21787</v>
      </c>
      <c r="I64" s="57">
        <v>1.41</v>
      </c>
    </row>
    <row r="65" spans="1:9" x14ac:dyDescent="0.3">
      <c r="A65" s="50">
        <v>64</v>
      </c>
      <c r="B65" s="50" t="s">
        <v>626</v>
      </c>
      <c r="C65" s="61" t="s">
        <v>1289</v>
      </c>
      <c r="D65" s="23" t="s">
        <v>168</v>
      </c>
      <c r="E65" s="58" t="str">
        <f>VLOOKUP(D65,all_countries!D:E,2,0)</f>
        <v>🇲🇪</v>
      </c>
      <c r="F65" s="58" t="str">
        <f>VLOOKUP(D65,Сountries!V:Z,2,0)</f>
        <v>Europe</v>
      </c>
      <c r="G65" s="52">
        <v>30887</v>
      </c>
      <c r="H65" s="52">
        <v>11886</v>
      </c>
      <c r="I65" s="57">
        <v>1.35</v>
      </c>
    </row>
    <row r="66" spans="1:9" x14ac:dyDescent="0.3">
      <c r="A66" s="50">
        <v>65</v>
      </c>
      <c r="B66" s="50" t="s">
        <v>626</v>
      </c>
      <c r="C66" s="61" t="s">
        <v>598</v>
      </c>
      <c r="D66" s="23" t="s">
        <v>102</v>
      </c>
      <c r="E66" s="58" t="str">
        <f>VLOOKUP(D66,all_countries!D:E,2,0)</f>
        <v>🇧🇾</v>
      </c>
      <c r="F66" s="58" t="str">
        <f>VLOOKUP(D66,Сountries!V:Z,2,0)</f>
        <v>Europe</v>
      </c>
      <c r="G66" s="52">
        <v>30763</v>
      </c>
      <c r="H66" s="52">
        <v>7883</v>
      </c>
      <c r="I66" s="57">
        <v>1.35</v>
      </c>
    </row>
    <row r="67" spans="1:9" x14ac:dyDescent="0.3">
      <c r="A67" s="50">
        <v>66</v>
      </c>
      <c r="B67" s="50" t="s">
        <v>625</v>
      </c>
      <c r="C67" s="61" t="s">
        <v>531</v>
      </c>
      <c r="D67" s="23" t="s">
        <v>38</v>
      </c>
      <c r="E67" s="58" t="str">
        <f>VLOOKUP(D67,all_countries!D:E,2,0)</f>
        <v>🇦🇷</v>
      </c>
      <c r="F67" s="58" t="str">
        <f>VLOOKUP(D67,Сountries!V:Z,2,0)</f>
        <v>America</v>
      </c>
      <c r="G67" s="52">
        <v>30082</v>
      </c>
      <c r="H67" s="52">
        <v>14187</v>
      </c>
      <c r="I67" s="57">
        <v>1.32</v>
      </c>
    </row>
    <row r="68" spans="1:9" x14ac:dyDescent="0.3">
      <c r="A68" s="50">
        <v>67</v>
      </c>
      <c r="B68" s="50" t="s">
        <v>627</v>
      </c>
      <c r="C68" s="61" t="s">
        <v>547</v>
      </c>
      <c r="D68" s="23" t="s">
        <v>158</v>
      </c>
      <c r="E68" s="58" t="str">
        <f>VLOOKUP(D68,all_countries!D:E,2,0)</f>
        <v>🇲🇺</v>
      </c>
      <c r="F68" s="58" t="str">
        <f>VLOOKUP(D68,Сountries!V:Z,2,0)</f>
        <v>Africa</v>
      </c>
      <c r="G68" s="52">
        <v>29511</v>
      </c>
      <c r="H68" s="52">
        <v>11499</v>
      </c>
      <c r="I68" s="57">
        <v>1.29</v>
      </c>
    </row>
    <row r="69" spans="1:9" x14ac:dyDescent="0.3">
      <c r="A69" s="50">
        <v>68</v>
      </c>
      <c r="B69" s="50" t="s">
        <v>626</v>
      </c>
      <c r="C69" s="61" t="s">
        <v>1237</v>
      </c>
      <c r="D69" s="23" t="s">
        <v>112</v>
      </c>
      <c r="E69" s="58" t="str">
        <f>VLOOKUP(D69,all_countries!D:E,2,0)</f>
        <v>🇷🇸</v>
      </c>
      <c r="F69" s="58" t="str">
        <f>VLOOKUP(D69,Сountries!V:Z,2,0)</f>
        <v>Europe</v>
      </c>
      <c r="G69" s="52">
        <v>28674</v>
      </c>
      <c r="H69" s="52">
        <v>12009</v>
      </c>
      <c r="I69" s="57">
        <v>1.26</v>
      </c>
    </row>
    <row r="70" spans="1:9" x14ac:dyDescent="0.3">
      <c r="A70" s="50">
        <v>69</v>
      </c>
      <c r="B70" s="50" t="s">
        <v>625</v>
      </c>
      <c r="C70" s="61" t="s">
        <v>1251</v>
      </c>
      <c r="D70" s="23" t="s">
        <v>128</v>
      </c>
      <c r="E70" s="58" t="str">
        <f>VLOOKUP(D70,all_countries!D:E,2,0)</f>
        <v>🇨🇷</v>
      </c>
      <c r="F70" s="58" t="str">
        <f>VLOOKUP(D70,Сountries!V:Z,2,0)</f>
        <v>America</v>
      </c>
      <c r="G70" s="52">
        <v>28112</v>
      </c>
      <c r="H70" s="52">
        <v>16942</v>
      </c>
      <c r="I70" s="57">
        <v>1.23</v>
      </c>
    </row>
    <row r="71" spans="1:9" x14ac:dyDescent="0.3">
      <c r="A71" s="50">
        <v>70</v>
      </c>
      <c r="B71" s="50" t="s">
        <v>625</v>
      </c>
      <c r="C71" s="61" t="s">
        <v>1299</v>
      </c>
      <c r="D71" s="23" t="s">
        <v>180</v>
      </c>
      <c r="E71" s="58" t="str">
        <f>VLOOKUP(D71,all_countries!D:E,2,0)</f>
        <v>🇱🇨</v>
      </c>
      <c r="F71" s="58" t="str">
        <f>VLOOKUP(D71,Сountries!V:Z,2,0)</f>
        <v>America</v>
      </c>
      <c r="G71" s="52">
        <v>25974</v>
      </c>
      <c r="H71" s="52">
        <v>13555</v>
      </c>
      <c r="I71" s="57">
        <v>1.1399999999999999</v>
      </c>
    </row>
    <row r="72" spans="1:9" x14ac:dyDescent="0.3">
      <c r="A72" s="50">
        <v>71</v>
      </c>
      <c r="B72" s="50" t="s">
        <v>628</v>
      </c>
      <c r="C72" s="61" t="s">
        <v>583</v>
      </c>
      <c r="D72" s="23" t="s">
        <v>87</v>
      </c>
      <c r="E72" s="58" t="str">
        <f>VLOOKUP(D72,all_countries!D:E,2,0)</f>
        <v>🇩🇴</v>
      </c>
      <c r="F72" s="58" t="str">
        <f>VLOOKUP(D72,Сountries!V:Z,2,0)</f>
        <v>Oceania</v>
      </c>
      <c r="G72" s="52">
        <v>25624</v>
      </c>
      <c r="H72" s="52">
        <v>10718</v>
      </c>
      <c r="I72" s="57">
        <v>1.1200000000000001</v>
      </c>
    </row>
    <row r="73" spans="1:9" x14ac:dyDescent="0.3">
      <c r="A73" s="50">
        <v>72</v>
      </c>
      <c r="B73" s="50" t="s">
        <v>624</v>
      </c>
      <c r="C73" s="61" t="s">
        <v>1255</v>
      </c>
      <c r="D73" s="23" t="s">
        <v>132</v>
      </c>
      <c r="E73" s="58" t="str">
        <f>VLOOKUP(D73,all_countries!D:E,2,0)</f>
        <v>🇬🇪</v>
      </c>
      <c r="F73" s="58" t="str">
        <f>VLOOKUP(D73,Сountries!V:Z,2,0)</f>
        <v>Asia</v>
      </c>
      <c r="G73" s="52">
        <v>25072</v>
      </c>
      <c r="H73" s="52">
        <v>8083</v>
      </c>
      <c r="I73" s="57">
        <v>1.1000000000000001</v>
      </c>
    </row>
    <row r="74" spans="1:9" x14ac:dyDescent="0.3">
      <c r="A74" s="50">
        <v>73</v>
      </c>
      <c r="B74" s="50" t="s">
        <v>625</v>
      </c>
      <c r="C74" s="61" t="s">
        <v>505</v>
      </c>
      <c r="D74" s="23" t="s">
        <v>14</v>
      </c>
      <c r="E74" s="58" t="str">
        <f>VLOOKUP(D74,all_countries!D:E,2,0)</f>
        <v>🇲🇽</v>
      </c>
      <c r="F74" s="58" t="str">
        <f>VLOOKUP(D74,Сountries!V:Z,2,0)</f>
        <v>America</v>
      </c>
      <c r="G74" s="52">
        <v>24767</v>
      </c>
      <c r="H74" s="52">
        <v>13790</v>
      </c>
      <c r="I74" s="57">
        <v>1.08</v>
      </c>
    </row>
    <row r="75" spans="1:9" x14ac:dyDescent="0.3">
      <c r="A75" s="50">
        <v>74</v>
      </c>
      <c r="B75" s="50" t="s">
        <v>624</v>
      </c>
      <c r="C75" s="61" t="s">
        <v>545</v>
      </c>
      <c r="D75" s="23" t="s">
        <v>170</v>
      </c>
      <c r="E75" s="58" t="str">
        <f>VLOOKUP(D75,all_countries!D:E,2,0)</f>
        <v>🇲🇻</v>
      </c>
      <c r="F75" s="58" t="str">
        <f>VLOOKUP(D75,Сountries!V:Z,2,0)</f>
        <v>Asia</v>
      </c>
      <c r="G75" s="52">
        <v>24735</v>
      </c>
      <c r="H75" s="52">
        <v>12530</v>
      </c>
      <c r="I75" s="57">
        <v>1.08</v>
      </c>
    </row>
    <row r="76" spans="1:9" x14ac:dyDescent="0.3">
      <c r="A76" s="50">
        <v>75</v>
      </c>
      <c r="B76" s="50" t="s">
        <v>624</v>
      </c>
      <c r="C76" s="61" t="s">
        <v>496</v>
      </c>
      <c r="D76" s="23" t="s">
        <v>5</v>
      </c>
      <c r="E76" s="58" t="str">
        <f>VLOOKUP(D76,all_countries!D:E,2,0)</f>
        <v>🇨🇳</v>
      </c>
      <c r="F76" s="58" t="str">
        <f>VLOOKUP(D76,Сountries!V:Z,2,0)</f>
        <v>Asia</v>
      </c>
      <c r="G76" s="52">
        <v>24569</v>
      </c>
      <c r="H76" s="52">
        <v>12509</v>
      </c>
      <c r="I76" s="57">
        <v>1.08</v>
      </c>
    </row>
    <row r="77" spans="1:9" x14ac:dyDescent="0.3">
      <c r="A77" s="50">
        <v>76</v>
      </c>
      <c r="B77" s="50" t="s">
        <v>626</v>
      </c>
      <c r="C77" s="61" t="s">
        <v>1274</v>
      </c>
      <c r="D77" s="23" t="s">
        <v>152</v>
      </c>
      <c r="E77" s="58" t="str">
        <f>VLOOKUP(D77,all_countries!D:E,2,0)</f>
        <v>🇲🇰</v>
      </c>
      <c r="F77" s="58" t="str">
        <f>VLOOKUP(D77,Сountries!V:Z,2,0)</f>
        <v>Europe</v>
      </c>
      <c r="G77" s="52">
        <v>24327</v>
      </c>
      <c r="H77" s="52">
        <v>8606</v>
      </c>
      <c r="I77" s="57">
        <v>1.07</v>
      </c>
    </row>
    <row r="78" spans="1:9" x14ac:dyDescent="0.3">
      <c r="A78" s="50">
        <v>77</v>
      </c>
      <c r="B78" s="50" t="s">
        <v>624</v>
      </c>
      <c r="C78" s="61" t="s">
        <v>592</v>
      </c>
      <c r="D78" s="23" t="s">
        <v>96</v>
      </c>
      <c r="E78" s="58" t="str">
        <f>VLOOKUP(D78,all_countries!D:E,2,0)</f>
        <v>🇦🇿</v>
      </c>
      <c r="F78" s="58" t="str">
        <f>VLOOKUP(D78,Сountries!V:Z,2,0)</f>
        <v>Asia</v>
      </c>
      <c r="G78" s="52">
        <v>23598</v>
      </c>
      <c r="H78" s="52">
        <v>7012</v>
      </c>
      <c r="I78" s="57">
        <v>1.03</v>
      </c>
    </row>
    <row r="79" spans="1:9" x14ac:dyDescent="0.3">
      <c r="A79" s="50">
        <v>78</v>
      </c>
      <c r="B79" s="50" t="s">
        <v>624</v>
      </c>
      <c r="C79" s="61" t="s">
        <v>514</v>
      </c>
      <c r="D79" s="23" t="s">
        <v>23</v>
      </c>
      <c r="E79" s="58" t="str">
        <f>VLOOKUP(D79,all_countries!D:E,2,0)</f>
        <v>🇹🇭</v>
      </c>
      <c r="F79" s="58" t="str">
        <f>VLOOKUP(D79,Сountries!V:Z,2,0)</f>
        <v>Asia</v>
      </c>
      <c r="G79" s="52">
        <v>23465</v>
      </c>
      <c r="H79" s="52">
        <v>7182</v>
      </c>
      <c r="I79" s="57">
        <v>1.03</v>
      </c>
    </row>
    <row r="80" spans="1:9" x14ac:dyDescent="0.3">
      <c r="A80" s="50">
        <v>79</v>
      </c>
      <c r="B80" s="50" t="s">
        <v>626</v>
      </c>
      <c r="C80" s="61" t="s">
        <v>1258</v>
      </c>
      <c r="D80" s="23" t="s">
        <v>136</v>
      </c>
      <c r="E80" s="58" t="str">
        <f>VLOOKUP(D80,all_countries!D:E,2,0)</f>
        <v>🇧🇦</v>
      </c>
      <c r="F80" s="58" t="str">
        <f>VLOOKUP(D80,Сountries!V:Z,2,0)</f>
        <v>Europe</v>
      </c>
      <c r="G80" s="52">
        <v>22391</v>
      </c>
      <c r="H80" s="52">
        <v>8639</v>
      </c>
      <c r="I80" s="57">
        <v>0.98</v>
      </c>
    </row>
    <row r="81" spans="1:9" x14ac:dyDescent="0.3">
      <c r="A81" s="50">
        <v>80</v>
      </c>
      <c r="B81" s="50" t="s">
        <v>624</v>
      </c>
      <c r="C81" s="61" t="s">
        <v>1262</v>
      </c>
      <c r="D81" s="23" t="s">
        <v>140</v>
      </c>
      <c r="E81" s="58" t="str">
        <f>VLOOKUP(D81,all_countries!D:E,2,0)</f>
        <v>🇦🇲</v>
      </c>
      <c r="F81" s="58" t="str">
        <f>VLOOKUP(D81,Сountries!V:Z,2,0)</f>
        <v>Asia</v>
      </c>
      <c r="G81" s="52">
        <v>21343</v>
      </c>
      <c r="H81" s="52">
        <v>8183</v>
      </c>
      <c r="I81" s="57">
        <v>0.93</v>
      </c>
    </row>
    <row r="82" spans="1:9" x14ac:dyDescent="0.3">
      <c r="A82" s="50">
        <v>81</v>
      </c>
      <c r="B82" s="50" t="s">
        <v>628</v>
      </c>
      <c r="C82" s="61" t="s">
        <v>1296</v>
      </c>
      <c r="D82" s="23" t="s">
        <v>177</v>
      </c>
      <c r="E82" s="58" t="str">
        <f>VLOOKUP(D82,all_countries!D:E,2,0)</f>
        <v>🇧🇧</v>
      </c>
      <c r="F82" s="58" t="str">
        <f>VLOOKUP(D82,Сountries!V:Z,2,0)</f>
        <v>Oceania</v>
      </c>
      <c r="G82" s="52">
        <v>21336</v>
      </c>
      <c r="H82" s="52">
        <v>23804</v>
      </c>
      <c r="I82" s="57">
        <v>0.93</v>
      </c>
    </row>
    <row r="83" spans="1:9" x14ac:dyDescent="0.3">
      <c r="A83" s="50">
        <v>82</v>
      </c>
      <c r="B83" s="50" t="s">
        <v>626</v>
      </c>
      <c r="C83" s="61" t="s">
        <v>1266</v>
      </c>
      <c r="D83" s="23" t="s">
        <v>144</v>
      </c>
      <c r="E83" s="58" t="str">
        <f>VLOOKUP(D83,all_countries!D:E,2,0)</f>
        <v>🇦🇱</v>
      </c>
      <c r="F83" s="58" t="str">
        <f>VLOOKUP(D83,Сountries!V:Z,2,0)</f>
        <v>Europe</v>
      </c>
      <c r="G83" s="52">
        <v>21208</v>
      </c>
      <c r="H83" s="52">
        <v>8375</v>
      </c>
      <c r="I83" s="57">
        <v>0.93</v>
      </c>
    </row>
    <row r="84" spans="1:9" x14ac:dyDescent="0.3">
      <c r="A84" s="50">
        <v>83</v>
      </c>
      <c r="B84" s="50" t="s">
        <v>625</v>
      </c>
      <c r="C84" s="61" t="s">
        <v>1288</v>
      </c>
      <c r="D84" s="23" t="s">
        <v>167</v>
      </c>
      <c r="E84" s="58" t="str">
        <f>VLOOKUP(D84,all_countries!D:E,2,0)</f>
        <v>🇸🇷</v>
      </c>
      <c r="F84" s="58" t="str">
        <f>VLOOKUP(D84,Сountries!V:Z,2,0)</f>
        <v>America</v>
      </c>
      <c r="G84" s="52">
        <v>21136</v>
      </c>
      <c r="H84" s="52">
        <v>5494</v>
      </c>
      <c r="I84" s="57">
        <v>0.93</v>
      </c>
    </row>
    <row r="85" spans="1:9" x14ac:dyDescent="0.3">
      <c r="A85" s="50">
        <v>84</v>
      </c>
      <c r="B85" s="50" t="s">
        <v>625</v>
      </c>
      <c r="C85" s="61" t="s">
        <v>501</v>
      </c>
      <c r="D85" s="23" t="s">
        <v>10</v>
      </c>
      <c r="E85" s="58" t="str">
        <f>VLOOKUP(D85,all_countries!D:E,2,0)</f>
        <v>🇧🇷</v>
      </c>
      <c r="F85" s="58" t="str">
        <f>VLOOKUP(D85,Сountries!V:Z,2,0)</f>
        <v>America</v>
      </c>
      <c r="G85" s="52">
        <v>21107</v>
      </c>
      <c r="H85" s="52">
        <v>10295</v>
      </c>
      <c r="I85" s="57">
        <v>0.92</v>
      </c>
    </row>
    <row r="86" spans="1:9" x14ac:dyDescent="0.3">
      <c r="A86" s="50">
        <v>85</v>
      </c>
      <c r="B86" s="50" t="s">
        <v>627</v>
      </c>
      <c r="C86" s="61" t="s">
        <v>1268</v>
      </c>
      <c r="D86" s="23" t="s">
        <v>146</v>
      </c>
      <c r="E86" s="58" t="str">
        <f>VLOOKUP(D86,all_countries!D:E,2,0)</f>
        <v>🇧🇼</v>
      </c>
      <c r="F86" s="58" t="str">
        <f>VLOOKUP(D86,Сountries!V:Z,2,0)</f>
        <v>Africa</v>
      </c>
      <c r="G86" s="52">
        <v>20916</v>
      </c>
      <c r="H86" s="52">
        <v>7820</v>
      </c>
      <c r="I86" s="57">
        <v>0.92</v>
      </c>
    </row>
    <row r="87" spans="1:9" x14ac:dyDescent="0.3">
      <c r="A87" s="50">
        <v>86</v>
      </c>
      <c r="B87" s="50" t="s">
        <v>627</v>
      </c>
      <c r="C87" s="61" t="s">
        <v>1267</v>
      </c>
      <c r="D87" s="23" t="s">
        <v>145</v>
      </c>
      <c r="E87" s="58" t="str">
        <f>VLOOKUP(D87,all_countries!D:E,2,0)</f>
        <v>🇬🇦</v>
      </c>
      <c r="F87" s="58" t="str">
        <f>VLOOKUP(D87,Сountries!V:Z,2,0)</f>
        <v>Africa</v>
      </c>
      <c r="G87" s="52">
        <v>20757</v>
      </c>
      <c r="H87" s="52">
        <v>7803</v>
      </c>
      <c r="I87" s="57">
        <v>0.91</v>
      </c>
    </row>
    <row r="88" spans="1:9" x14ac:dyDescent="0.3">
      <c r="A88" s="50">
        <v>87</v>
      </c>
      <c r="B88" s="50" t="s">
        <v>625</v>
      </c>
      <c r="C88" s="61" t="s">
        <v>523</v>
      </c>
      <c r="D88" s="23" t="s">
        <v>31</v>
      </c>
      <c r="E88" s="58" t="str">
        <f>VLOOKUP(D88,all_countries!D:E,2,0)</f>
        <v>🇨🇴</v>
      </c>
      <c r="F88" s="58" t="str">
        <f>VLOOKUP(D88,Сountries!V:Z,2,0)</f>
        <v>America</v>
      </c>
      <c r="G88" s="52">
        <v>20676</v>
      </c>
      <c r="H88" s="52">
        <v>6947</v>
      </c>
      <c r="I88" s="57">
        <v>0.91</v>
      </c>
    </row>
    <row r="89" spans="1:9" x14ac:dyDescent="0.3">
      <c r="A89" s="50">
        <v>88</v>
      </c>
      <c r="B89" s="50" t="s">
        <v>628</v>
      </c>
      <c r="C89" s="61" t="s">
        <v>1305</v>
      </c>
      <c r="D89" s="23" t="s">
        <v>186</v>
      </c>
      <c r="E89" s="58" t="str">
        <f>VLOOKUP(D89,all_countries!D:E,2,0)</f>
        <v>🇻🇨</v>
      </c>
      <c r="F89" s="58" t="str">
        <f>VLOOKUP(D89,Сountries!V:Z,2,0)</f>
        <v>Oceania</v>
      </c>
      <c r="G89" s="52">
        <v>20349</v>
      </c>
      <c r="H89" s="52">
        <v>10520</v>
      </c>
      <c r="I89" s="57">
        <v>0.89</v>
      </c>
    </row>
    <row r="90" spans="1:9" x14ac:dyDescent="0.3">
      <c r="A90" s="50">
        <v>89</v>
      </c>
      <c r="B90" s="50" t="s">
        <v>624</v>
      </c>
      <c r="C90" s="61" t="s">
        <v>1231</v>
      </c>
      <c r="D90" s="23" t="s">
        <v>106</v>
      </c>
      <c r="E90" s="58" t="str">
        <f>VLOOKUP(D90,all_countries!D:E,2,0)</f>
        <v>🇹🇲</v>
      </c>
      <c r="F90" s="58" t="str">
        <f>VLOOKUP(D90,Сountries!V:Z,2,0)</f>
        <v>Asia</v>
      </c>
      <c r="G90" s="52">
        <v>19829</v>
      </c>
      <c r="H90" s="52">
        <v>8233</v>
      </c>
      <c r="I90" s="57">
        <v>0.87</v>
      </c>
    </row>
    <row r="91" spans="1:9" x14ac:dyDescent="0.3">
      <c r="A91" s="50">
        <v>90</v>
      </c>
      <c r="B91" s="50" t="s">
        <v>628</v>
      </c>
      <c r="C91" s="61" t="s">
        <v>584</v>
      </c>
      <c r="D91" s="23" t="s">
        <v>189</v>
      </c>
      <c r="E91" s="58" t="str">
        <f>VLOOKUP(D91,all_countries!D:E,2,0)</f>
        <v>🇩🇲</v>
      </c>
      <c r="F91" s="58" t="str">
        <f>VLOOKUP(D91,Сountries!V:Z,2,0)</f>
        <v>Oceania</v>
      </c>
      <c r="G91" s="52">
        <v>19334</v>
      </c>
      <c r="H91" s="52">
        <v>9833</v>
      </c>
      <c r="I91" s="57">
        <v>0.85</v>
      </c>
    </row>
    <row r="92" spans="1:9" x14ac:dyDescent="0.3">
      <c r="A92" s="50">
        <v>91</v>
      </c>
      <c r="B92" s="50" t="s">
        <v>628</v>
      </c>
      <c r="C92" s="61" t="s">
        <v>1302</v>
      </c>
      <c r="D92" s="23" t="s">
        <v>183</v>
      </c>
      <c r="E92" s="58" t="str">
        <f>VLOOKUP(D92,all_countries!D:E,2,0)</f>
        <v>🇬🇩</v>
      </c>
      <c r="F92" s="58" t="str">
        <f>VLOOKUP(D92,Сountries!V:Z,2,0)</f>
        <v>Oceania</v>
      </c>
      <c r="G92" s="52">
        <v>18808</v>
      </c>
      <c r="H92" s="52">
        <v>11246</v>
      </c>
      <c r="I92" s="57">
        <v>0.82</v>
      </c>
    </row>
    <row r="93" spans="1:9" x14ac:dyDescent="0.3">
      <c r="A93" s="50">
        <v>92</v>
      </c>
      <c r="B93" s="50" t="s">
        <v>627</v>
      </c>
      <c r="C93" s="61" t="s">
        <v>507</v>
      </c>
      <c r="D93" s="23" t="s">
        <v>16</v>
      </c>
      <c r="E93" s="58" t="str">
        <f>VLOOKUP(D93,all_countries!D:E,2,0)</f>
        <v>🇪🇬</v>
      </c>
      <c r="F93" s="58" t="str">
        <f>VLOOKUP(D93,Сountries!V:Z,2,0)</f>
        <v>Africa</v>
      </c>
      <c r="G93" s="52">
        <v>18525</v>
      </c>
      <c r="H93" s="52">
        <v>3457</v>
      </c>
      <c r="I93" s="57">
        <v>0.81</v>
      </c>
    </row>
    <row r="94" spans="1:9" x14ac:dyDescent="0.3">
      <c r="A94" s="50">
        <v>93</v>
      </c>
      <c r="B94" s="50" t="s">
        <v>624</v>
      </c>
      <c r="C94" s="61" t="s">
        <v>1257</v>
      </c>
      <c r="D94" s="23" t="s">
        <v>134</v>
      </c>
      <c r="E94" s="58" t="str">
        <f>VLOOKUP(D94,all_countries!D:E,2,0)</f>
        <v>🇲🇳</v>
      </c>
      <c r="F94" s="58" t="str">
        <f>VLOOKUP(D94,Сountries!V:Z,2,0)</f>
        <v>Asia</v>
      </c>
      <c r="G94" s="52">
        <v>18005</v>
      </c>
      <c r="H94" s="52">
        <v>5922</v>
      </c>
      <c r="I94" s="57">
        <v>0.79</v>
      </c>
    </row>
    <row r="95" spans="1:9" x14ac:dyDescent="0.3">
      <c r="A95" s="50">
        <v>94</v>
      </c>
      <c r="B95" s="50" t="s">
        <v>624</v>
      </c>
      <c r="C95" s="61" t="s">
        <v>511</v>
      </c>
      <c r="D95" s="23" t="s">
        <v>20</v>
      </c>
      <c r="E95" s="58" t="str">
        <f>VLOOKUP(D95,all_countries!D:E,2,0)</f>
        <v>🇮🇷</v>
      </c>
      <c r="F95" s="58" t="str">
        <f>VLOOKUP(D95,Сountries!V:Z,2,0)</f>
        <v>Asia</v>
      </c>
      <c r="G95" s="52">
        <v>17660</v>
      </c>
      <c r="H95" s="52">
        <v>4466</v>
      </c>
      <c r="I95" s="57">
        <v>0.77</v>
      </c>
    </row>
    <row r="96" spans="1:9" x14ac:dyDescent="0.3">
      <c r="A96" s="50">
        <v>95</v>
      </c>
      <c r="B96" s="50" t="s">
        <v>626</v>
      </c>
      <c r="C96" s="61" t="s">
        <v>536</v>
      </c>
      <c r="D96" s="23" t="s">
        <v>43</v>
      </c>
      <c r="E96" s="58" t="str">
        <f>VLOOKUP(D96,all_countries!D:E,2,0)</f>
        <v>🇺🇦</v>
      </c>
      <c r="F96" s="58" t="str">
        <f>VLOOKUP(D96,Сountries!V:Z,2,0)</f>
        <v>Europe</v>
      </c>
      <c r="G96" s="52">
        <v>17630</v>
      </c>
      <c r="H96" s="52">
        <v>4737</v>
      </c>
      <c r="I96" s="57">
        <v>0.77</v>
      </c>
    </row>
    <row r="97" spans="1:9" x14ac:dyDescent="0.3">
      <c r="A97" s="50">
        <v>96</v>
      </c>
      <c r="B97" s="50" t="s">
        <v>626</v>
      </c>
      <c r="C97" s="61" t="s">
        <v>1261</v>
      </c>
      <c r="D97" s="23" t="s">
        <v>139</v>
      </c>
      <c r="E97" s="58" t="str">
        <f>VLOOKUP(D97,all_countries!D:E,2,0)</f>
        <v>🇲🇩</v>
      </c>
      <c r="F97" s="58" t="str">
        <f>VLOOKUP(D97,Сountries!V:Z,2,0)</f>
        <v>Europe</v>
      </c>
      <c r="G97" s="52">
        <v>17597</v>
      </c>
      <c r="H97" s="52">
        <v>5393</v>
      </c>
      <c r="I97" s="57">
        <v>0.77</v>
      </c>
    </row>
    <row r="98" spans="1:9" x14ac:dyDescent="0.3">
      <c r="A98" s="50">
        <v>97</v>
      </c>
      <c r="B98" s="50" t="s">
        <v>628</v>
      </c>
      <c r="C98" s="61" t="s">
        <v>1313</v>
      </c>
      <c r="D98" s="23" t="s">
        <v>195</v>
      </c>
      <c r="E98" s="58" t="str">
        <f>VLOOKUP(D98,all_countries!D:E,2,0)</f>
        <v>🇵🇼</v>
      </c>
      <c r="F98" s="58" t="str">
        <f>VLOOKUP(D98,Сountries!V:Z,2,0)</f>
        <v>Oceania</v>
      </c>
      <c r="G98" s="52">
        <v>17532</v>
      </c>
      <c r="H98" s="52">
        <v>15899</v>
      </c>
      <c r="I98" s="57">
        <v>0.77</v>
      </c>
    </row>
    <row r="99" spans="1:9" x14ac:dyDescent="0.3">
      <c r="A99" s="50">
        <v>98</v>
      </c>
      <c r="B99" s="50" t="s">
        <v>625</v>
      </c>
      <c r="C99" s="61" t="s">
        <v>1234</v>
      </c>
      <c r="D99" s="23" t="s">
        <v>109</v>
      </c>
      <c r="E99" s="58" t="str">
        <f>VLOOKUP(D99,all_countries!D:E,2,0)</f>
        <v>🇵🇾</v>
      </c>
      <c r="F99" s="58" t="str">
        <f>VLOOKUP(D99,Сountries!V:Z,2,0)</f>
        <v>America</v>
      </c>
      <c r="G99" s="52">
        <v>17517</v>
      </c>
      <c r="H99" s="52">
        <v>6276</v>
      </c>
      <c r="I99" s="57">
        <v>0.77</v>
      </c>
    </row>
    <row r="100" spans="1:9" x14ac:dyDescent="0.3">
      <c r="A100" s="50">
        <v>99</v>
      </c>
      <c r="B100" s="50" t="s">
        <v>627</v>
      </c>
      <c r="C100" s="61" t="s">
        <v>1272</v>
      </c>
      <c r="D100" s="23" t="s">
        <v>150</v>
      </c>
      <c r="E100" s="58" t="str">
        <f>VLOOKUP(D100,all_countries!D:E,2,0)</f>
        <v>🇬🇶</v>
      </c>
      <c r="F100" s="58" t="str">
        <f>VLOOKUP(D100,Сountries!V:Z,2,0)</f>
        <v>Africa</v>
      </c>
      <c r="G100" s="52">
        <v>17412</v>
      </c>
      <c r="H100" s="52">
        <v>6678</v>
      </c>
      <c r="I100" s="57">
        <v>0.76</v>
      </c>
    </row>
    <row r="101" spans="1:9" x14ac:dyDescent="0.3">
      <c r="A101" s="50">
        <v>100</v>
      </c>
      <c r="B101" s="50" t="s">
        <v>625</v>
      </c>
      <c r="C101" s="61" t="s">
        <v>550</v>
      </c>
      <c r="D101" s="23" t="s">
        <v>50</v>
      </c>
      <c r="E101" s="58" t="str">
        <f>VLOOKUP(D101,all_countries!D:E,2,0)</f>
        <v>🇵🇪</v>
      </c>
      <c r="F101" s="58" t="str">
        <f>VLOOKUP(D101,Сountries!V:Z,2,0)</f>
        <v>America</v>
      </c>
      <c r="G101" s="52">
        <v>16974</v>
      </c>
      <c r="H101" s="52">
        <v>7907</v>
      </c>
      <c r="I101" s="57">
        <v>0.74</v>
      </c>
    </row>
    <row r="102" spans="1:9" x14ac:dyDescent="0.3">
      <c r="A102" s="50">
        <v>101</v>
      </c>
      <c r="B102" s="50" t="s">
        <v>627</v>
      </c>
      <c r="C102" s="61" t="s">
        <v>529</v>
      </c>
      <c r="D102" s="23" t="s">
        <v>36</v>
      </c>
      <c r="E102" s="58" t="str">
        <f>VLOOKUP(D102,all_countries!D:E,2,0)</f>
        <v>🇩🇿</v>
      </c>
      <c r="F102" s="58" t="str">
        <f>VLOOKUP(D102,Сountries!V:Z,2,0)</f>
        <v>Africa</v>
      </c>
      <c r="G102" s="52">
        <v>16824</v>
      </c>
      <c r="H102" s="52">
        <v>5364</v>
      </c>
      <c r="I102" s="57">
        <v>0.74</v>
      </c>
    </row>
    <row r="103" spans="1:9" x14ac:dyDescent="0.3">
      <c r="A103" s="50">
        <v>102</v>
      </c>
      <c r="B103" s="50" t="s">
        <v>625</v>
      </c>
      <c r="C103" s="61" t="s">
        <v>570</v>
      </c>
      <c r="D103" s="23" t="s">
        <v>74</v>
      </c>
      <c r="E103" s="58" t="str">
        <f>VLOOKUP(D103,all_countries!D:E,2,0)</f>
        <v>🇪🇨</v>
      </c>
      <c r="F103" s="58" t="str">
        <f>VLOOKUP(D103,Сountries!V:Z,2,0)</f>
        <v>America</v>
      </c>
      <c r="G103" s="52">
        <v>16062</v>
      </c>
      <c r="H103" s="52">
        <v>6610</v>
      </c>
      <c r="I103" s="57">
        <v>0.7</v>
      </c>
    </row>
    <row r="104" spans="1:9" x14ac:dyDescent="0.3">
      <c r="A104" s="50">
        <v>103</v>
      </c>
      <c r="B104" s="50" t="s">
        <v>624</v>
      </c>
      <c r="C104" s="61" t="s">
        <v>498</v>
      </c>
      <c r="D104" s="23" t="s">
        <v>7</v>
      </c>
      <c r="E104" s="58" t="str">
        <f>VLOOKUP(D104,all_countries!D:E,2,0)</f>
        <v>🇮🇩</v>
      </c>
      <c r="F104" s="58" t="str">
        <f>VLOOKUP(D104,Сountries!V:Z,2,0)</f>
        <v>Asia</v>
      </c>
      <c r="G104" s="52">
        <v>15416</v>
      </c>
      <c r="H104" s="52">
        <v>4876</v>
      </c>
      <c r="I104" s="57">
        <v>0.68</v>
      </c>
    </row>
    <row r="105" spans="1:9" x14ac:dyDescent="0.3">
      <c r="A105" s="50">
        <v>104</v>
      </c>
      <c r="B105" s="50" t="s">
        <v>627</v>
      </c>
      <c r="C105" s="61" t="s">
        <v>520</v>
      </c>
      <c r="D105" s="23" t="s">
        <v>27</v>
      </c>
      <c r="E105" s="58" t="str">
        <f>VLOOKUP(D105,all_countries!D:E,2,0)</f>
        <v>🇿🇦</v>
      </c>
      <c r="F105" s="58" t="str">
        <f>VLOOKUP(D105,Сountries!V:Z,2,0)</f>
        <v>Africa</v>
      </c>
      <c r="G105" s="52">
        <v>15194</v>
      </c>
      <c r="H105" s="52">
        <v>6023</v>
      </c>
      <c r="I105" s="57">
        <v>0.67</v>
      </c>
    </row>
    <row r="106" spans="1:9" x14ac:dyDescent="0.3">
      <c r="A106" s="50">
        <v>105</v>
      </c>
      <c r="B106" s="50" t="s">
        <v>628</v>
      </c>
      <c r="C106" s="61" t="s">
        <v>1282</v>
      </c>
      <c r="D106" s="23" t="s">
        <v>161</v>
      </c>
      <c r="E106" s="58" t="str">
        <f>VLOOKUP(D106,all_countries!D:E,2,0)</f>
        <v>🇫🇯</v>
      </c>
      <c r="F106" s="58" t="str">
        <f>VLOOKUP(D106,Сountries!V:Z,2,0)</f>
        <v>Oceania</v>
      </c>
      <c r="G106" s="52">
        <v>15152</v>
      </c>
      <c r="H106" s="52">
        <v>5889</v>
      </c>
      <c r="I106" s="57">
        <v>0.66</v>
      </c>
    </row>
    <row r="107" spans="1:9" x14ac:dyDescent="0.3">
      <c r="A107" s="50">
        <v>106</v>
      </c>
      <c r="B107" s="50" t="s">
        <v>624</v>
      </c>
      <c r="C107" s="61" t="s">
        <v>510</v>
      </c>
      <c r="D107" s="23" t="s">
        <v>19</v>
      </c>
      <c r="E107" s="58" t="str">
        <f>VLOOKUP(D107,all_countries!D:E,2,0)</f>
        <v>🇻🇳</v>
      </c>
      <c r="F107" s="58" t="str">
        <f>VLOOKUP(D107,Сountries!V:Z,2,0)</f>
        <v>Asia</v>
      </c>
      <c r="G107" s="52">
        <v>14974</v>
      </c>
      <c r="H107" s="52">
        <v>4282</v>
      </c>
      <c r="I107" s="57">
        <v>0.66</v>
      </c>
    </row>
    <row r="108" spans="1:9" x14ac:dyDescent="0.3">
      <c r="A108" s="50">
        <v>107</v>
      </c>
      <c r="B108" s="50" t="s">
        <v>624</v>
      </c>
      <c r="C108" s="61" t="s">
        <v>560</v>
      </c>
      <c r="D108" s="23" t="s">
        <v>63</v>
      </c>
      <c r="E108" s="58" t="str">
        <f>VLOOKUP(D108,all_countries!D:E,2,0)</f>
        <v>🇱🇰</v>
      </c>
      <c r="F108" s="58" t="str">
        <f>VLOOKUP(D108,Сountries!V:Z,2,0)</f>
        <v>Asia</v>
      </c>
      <c r="G108" s="52">
        <v>14461</v>
      </c>
      <c r="H108" s="52">
        <v>3672</v>
      </c>
      <c r="I108" s="57">
        <v>0.63</v>
      </c>
    </row>
    <row r="109" spans="1:9" x14ac:dyDescent="0.3">
      <c r="A109" s="50">
        <v>108</v>
      </c>
      <c r="B109" s="50" t="s">
        <v>624</v>
      </c>
      <c r="C109" s="61" t="s">
        <v>530</v>
      </c>
      <c r="D109" s="23" t="s">
        <v>37</v>
      </c>
      <c r="E109" s="58" t="str">
        <f>VLOOKUP(D109,all_countries!D:E,2,0)</f>
        <v>🇮🇶</v>
      </c>
      <c r="F109" s="58" t="str">
        <f>VLOOKUP(D109,Сountries!V:Z,2,0)</f>
        <v>Asia</v>
      </c>
      <c r="G109" s="52">
        <v>14107</v>
      </c>
      <c r="H109" s="52">
        <v>5565</v>
      </c>
      <c r="I109" s="57">
        <v>0.62</v>
      </c>
    </row>
    <row r="110" spans="1:9" x14ac:dyDescent="0.3">
      <c r="A110" s="50">
        <v>109</v>
      </c>
      <c r="B110" s="50" t="s">
        <v>627</v>
      </c>
      <c r="C110" s="61" t="s">
        <v>578</v>
      </c>
      <c r="D110" s="23" t="s">
        <v>82</v>
      </c>
      <c r="E110" s="58" t="str">
        <f>VLOOKUP(D110,all_countries!D:E,2,0)</f>
        <v>🇹🇳</v>
      </c>
      <c r="F110" s="58" t="str">
        <f>VLOOKUP(D110,Сountries!V:Z,2,0)</f>
        <v>Africa</v>
      </c>
      <c r="G110" s="52">
        <v>13932</v>
      </c>
      <c r="H110" s="52">
        <v>3978</v>
      </c>
      <c r="I110" s="57">
        <v>0.61</v>
      </c>
    </row>
    <row r="111" spans="1:9" x14ac:dyDescent="0.3">
      <c r="A111" s="50">
        <v>110</v>
      </c>
      <c r="B111" s="50" t="s">
        <v>627</v>
      </c>
      <c r="C111" s="61" t="s">
        <v>1232</v>
      </c>
      <c r="D111" s="23" t="s">
        <v>107</v>
      </c>
      <c r="E111" s="58" t="str">
        <f>VLOOKUP(D111,all_countries!D:E,2,0)</f>
        <v>🇱🇾</v>
      </c>
      <c r="F111" s="58" t="str">
        <f>VLOOKUP(D111,Сountries!V:Z,2,0)</f>
        <v>Africa</v>
      </c>
      <c r="G111" s="52">
        <v>13849</v>
      </c>
      <c r="H111" s="52">
        <v>6173</v>
      </c>
      <c r="I111" s="57">
        <v>0.61</v>
      </c>
    </row>
    <row r="112" spans="1:9" x14ac:dyDescent="0.3">
      <c r="A112" s="50">
        <v>111</v>
      </c>
      <c r="B112" s="50" t="s">
        <v>625</v>
      </c>
      <c r="C112" s="61" t="s">
        <v>1292</v>
      </c>
      <c r="D112" s="23" t="s">
        <v>173</v>
      </c>
      <c r="E112" s="58" t="str">
        <f>VLOOKUP(D112,all_countries!D:E,2,0)</f>
        <v>🇧🇿</v>
      </c>
      <c r="F112" s="58" t="str">
        <f>VLOOKUP(D112,Сountries!V:Z,2,0)</f>
        <v>America</v>
      </c>
      <c r="G112" s="52">
        <v>13823</v>
      </c>
      <c r="H112" s="52">
        <v>7460</v>
      </c>
      <c r="I112" s="57">
        <v>0.61</v>
      </c>
    </row>
    <row r="113" spans="1:9" x14ac:dyDescent="0.3">
      <c r="A113" s="50">
        <v>112</v>
      </c>
      <c r="B113" s="50" t="s">
        <v>625</v>
      </c>
      <c r="C113" s="61" t="s">
        <v>568</v>
      </c>
      <c r="D113" s="23" t="s">
        <v>72</v>
      </c>
      <c r="E113" s="58" t="str">
        <f>VLOOKUP(D113,all_countries!D:E,2,0)</f>
        <v>🇬🇹</v>
      </c>
      <c r="F113" s="58" t="str">
        <f>VLOOKUP(D113,Сountries!V:Z,2,0)</f>
        <v>America</v>
      </c>
      <c r="G113" s="52">
        <v>13750</v>
      </c>
      <c r="H113" s="52">
        <v>5763</v>
      </c>
      <c r="I113" s="57">
        <v>0.6</v>
      </c>
    </row>
    <row r="114" spans="1:9" x14ac:dyDescent="0.3">
      <c r="A114" s="50">
        <v>113</v>
      </c>
      <c r="B114" s="50" t="s">
        <v>625</v>
      </c>
      <c r="C114" s="61" t="s">
        <v>1239</v>
      </c>
      <c r="D114" s="23" t="s">
        <v>114</v>
      </c>
      <c r="E114" s="58" t="str">
        <f>VLOOKUP(D114,all_countries!D:E,2,0)</f>
        <v>🇸🇻</v>
      </c>
      <c r="F114" s="58" t="str">
        <f>VLOOKUP(D114,Сountries!V:Z,2,0)</f>
        <v>America</v>
      </c>
      <c r="G114" s="52">
        <v>12657</v>
      </c>
      <c r="H114" s="52">
        <v>5391</v>
      </c>
      <c r="I114" s="57">
        <v>0.55000000000000004</v>
      </c>
    </row>
    <row r="115" spans="1:9" x14ac:dyDescent="0.3">
      <c r="A115" s="50">
        <v>114</v>
      </c>
      <c r="B115" s="50" t="s">
        <v>628</v>
      </c>
      <c r="C115" s="61" t="s">
        <v>1263</v>
      </c>
      <c r="D115" s="23" t="s">
        <v>141</v>
      </c>
      <c r="E115" s="58" t="str">
        <f>VLOOKUP(D115,all_countries!D:E,2,0)</f>
        <v>🇯🇲</v>
      </c>
      <c r="F115" s="58" t="str">
        <f>VLOOKUP(D115,Сountries!V:Z,2,0)</f>
        <v>Oceania</v>
      </c>
      <c r="G115" s="52">
        <v>11422</v>
      </c>
      <c r="H115" s="52">
        <v>6840</v>
      </c>
      <c r="I115" s="57">
        <v>0.5</v>
      </c>
    </row>
    <row r="116" spans="1:9" x14ac:dyDescent="0.3">
      <c r="A116" s="50">
        <v>115</v>
      </c>
      <c r="B116" s="50" t="s">
        <v>627</v>
      </c>
      <c r="C116" s="61" t="s">
        <v>1280</v>
      </c>
      <c r="D116" s="23" t="s">
        <v>159</v>
      </c>
      <c r="E116" s="58" t="str">
        <f>VLOOKUP(D116,all_countries!D:E,2,0)</f>
        <v>🇸🇿</v>
      </c>
      <c r="F116" s="58" t="str">
        <f>VLOOKUP(D116,Сountries!V:Z,2,0)</f>
        <v>Africa</v>
      </c>
      <c r="G116" s="52">
        <v>11245</v>
      </c>
      <c r="H116" s="52">
        <v>3611</v>
      </c>
      <c r="I116" s="57">
        <v>0.49</v>
      </c>
    </row>
    <row r="117" spans="1:9" x14ac:dyDescent="0.3">
      <c r="A117" s="50">
        <v>116</v>
      </c>
      <c r="B117" s="50" t="s">
        <v>627</v>
      </c>
      <c r="C117" s="61" t="s">
        <v>1260</v>
      </c>
      <c r="D117" s="23" t="s">
        <v>138</v>
      </c>
      <c r="E117" s="58" t="str">
        <f>VLOOKUP(D117,all_countries!D:E,2,0)</f>
        <v>🇳🇦</v>
      </c>
      <c r="F117" s="58" t="str">
        <f>VLOOKUP(D117,Сountries!V:Z,2,0)</f>
        <v>Africa</v>
      </c>
      <c r="G117" s="52">
        <v>11216</v>
      </c>
      <c r="H117" s="52">
        <v>4168</v>
      </c>
      <c r="I117" s="57">
        <v>0.49</v>
      </c>
    </row>
    <row r="118" spans="1:9" x14ac:dyDescent="0.3">
      <c r="A118" s="50">
        <v>117</v>
      </c>
      <c r="B118" s="50" t="s">
        <v>624</v>
      </c>
      <c r="C118" s="61" t="s">
        <v>539</v>
      </c>
      <c r="D118" s="23" t="s">
        <v>46</v>
      </c>
      <c r="E118" s="58" t="str">
        <f>VLOOKUP(D118,all_countries!D:E,2,0)</f>
        <v>🇺🇿</v>
      </c>
      <c r="F118" s="58" t="str">
        <f>VLOOKUP(D118,Сountries!V:Z,2,0)</f>
        <v>Asia</v>
      </c>
      <c r="G118" s="52">
        <v>11107</v>
      </c>
      <c r="H118" s="52">
        <v>2850</v>
      </c>
      <c r="I118" s="57">
        <v>0.49</v>
      </c>
    </row>
    <row r="119" spans="1:9" x14ac:dyDescent="0.3">
      <c r="A119" s="50">
        <v>118</v>
      </c>
      <c r="B119" s="50" t="s">
        <v>624</v>
      </c>
      <c r="C119" s="61" t="s">
        <v>508</v>
      </c>
      <c r="D119" s="23" t="s">
        <v>17</v>
      </c>
      <c r="E119" s="58" t="str">
        <f>VLOOKUP(D119,all_countries!D:E,2,0)</f>
        <v>🇵🇭</v>
      </c>
      <c r="F119" s="58" t="str">
        <f>VLOOKUP(D119,Сountries!V:Z,2,0)</f>
        <v>Asia</v>
      </c>
      <c r="G119" s="52">
        <v>10989</v>
      </c>
      <c r="H119" s="52">
        <v>3805</v>
      </c>
      <c r="I119" s="57">
        <v>0.48</v>
      </c>
    </row>
    <row r="120" spans="1:9" x14ac:dyDescent="0.3">
      <c r="A120" s="50">
        <v>119</v>
      </c>
      <c r="B120" s="50" t="s">
        <v>625</v>
      </c>
      <c r="C120" s="61" t="s">
        <v>577</v>
      </c>
      <c r="D120" s="23" t="s">
        <v>81</v>
      </c>
      <c r="E120" s="58" t="str">
        <f>VLOOKUP(D120,all_countries!D:E,2,0)</f>
        <v>🇧🇴</v>
      </c>
      <c r="F120" s="58" t="str">
        <f>VLOOKUP(D120,Сountries!V:Z,2,0)</f>
        <v>America</v>
      </c>
      <c r="G120" s="52">
        <v>10925</v>
      </c>
      <c r="H120" s="52">
        <v>3686</v>
      </c>
      <c r="I120" s="57">
        <v>0.48</v>
      </c>
    </row>
    <row r="121" spans="1:9" x14ac:dyDescent="0.3">
      <c r="A121" s="50">
        <v>120</v>
      </c>
      <c r="B121" s="50" t="s">
        <v>624</v>
      </c>
      <c r="C121" s="61" t="s">
        <v>582</v>
      </c>
      <c r="D121" s="23" t="s">
        <v>86</v>
      </c>
      <c r="E121" s="58" t="str">
        <f>VLOOKUP(D121,all_countries!D:E,2,0)</f>
        <v>🇯🇴</v>
      </c>
      <c r="F121" s="58" t="str">
        <f>VLOOKUP(D121,Сountries!V:Z,2,0)</f>
        <v>Asia</v>
      </c>
      <c r="G121" s="52">
        <v>10391</v>
      </c>
      <c r="H121" s="52">
        <v>4456</v>
      </c>
      <c r="I121" s="57">
        <v>0.46</v>
      </c>
    </row>
    <row r="122" spans="1:9" x14ac:dyDescent="0.3">
      <c r="A122" s="50">
        <v>121</v>
      </c>
      <c r="B122" s="50" t="s">
        <v>627</v>
      </c>
      <c r="C122" s="61" t="s">
        <v>1290</v>
      </c>
      <c r="D122" s="23" t="s">
        <v>171</v>
      </c>
      <c r="E122" s="58" t="str">
        <f>VLOOKUP(D122,all_countries!D:E,2,0)</f>
        <v>🇨🇻</v>
      </c>
      <c r="F122" s="58" t="str">
        <f>VLOOKUP(D122,Сountries!V:Z,2,0)</f>
        <v>Africa</v>
      </c>
      <c r="G122" s="52">
        <v>10309</v>
      </c>
      <c r="H122" s="52">
        <v>4851</v>
      </c>
      <c r="I122" s="57">
        <v>0.45</v>
      </c>
    </row>
    <row r="123" spans="1:9" x14ac:dyDescent="0.3">
      <c r="A123" s="50">
        <v>122</v>
      </c>
      <c r="B123" s="50" t="s">
        <v>624</v>
      </c>
      <c r="C123" s="61" t="s">
        <v>495</v>
      </c>
      <c r="D123" s="23" t="s">
        <v>4</v>
      </c>
      <c r="E123" s="58" t="str">
        <f>VLOOKUP(D123,all_countries!D:E,2,0)</f>
        <v>🇮🇳</v>
      </c>
      <c r="F123" s="58" t="str">
        <f>VLOOKUP(D123,Сountries!V:Z,2,0)</f>
        <v>Asia</v>
      </c>
      <c r="G123" s="52">
        <v>10166</v>
      </c>
      <c r="H123" s="52">
        <v>2481</v>
      </c>
      <c r="I123" s="57">
        <v>0.45</v>
      </c>
    </row>
    <row r="124" spans="1:9" x14ac:dyDescent="0.3">
      <c r="A124" s="50">
        <v>123</v>
      </c>
      <c r="B124" s="50" t="s">
        <v>627</v>
      </c>
      <c r="C124" s="61" t="s">
        <v>537</v>
      </c>
      <c r="D124" s="23" t="s">
        <v>44</v>
      </c>
      <c r="E124" s="58" t="str">
        <f>VLOOKUP(D124,all_countries!D:E,2,0)</f>
        <v>🇲🇦</v>
      </c>
      <c r="F124" s="58" t="str">
        <f>VLOOKUP(D124,Сountries!V:Z,2,0)</f>
        <v>Africa</v>
      </c>
      <c r="G124" s="52">
        <v>9843</v>
      </c>
      <c r="H124" s="52">
        <v>3829</v>
      </c>
      <c r="I124" s="57">
        <v>0.43</v>
      </c>
    </row>
    <row r="125" spans="1:9" x14ac:dyDescent="0.3">
      <c r="A125" s="50">
        <v>124</v>
      </c>
      <c r="B125" s="50" t="s">
        <v>624</v>
      </c>
      <c r="C125" s="61" t="s">
        <v>601</v>
      </c>
      <c r="D125" s="23" t="s">
        <v>105</v>
      </c>
      <c r="E125" s="58" t="str">
        <f>VLOOKUP(D125,all_countries!D:E,2,0)</f>
        <v>🇱🇦</v>
      </c>
      <c r="F125" s="58" t="str">
        <f>VLOOKUP(D125,Сountries!V:Z,2,0)</f>
        <v>Asia</v>
      </c>
      <c r="G125" s="52">
        <v>9292</v>
      </c>
      <c r="H125" s="52">
        <v>2067</v>
      </c>
      <c r="I125" s="57">
        <v>0.41</v>
      </c>
    </row>
    <row r="126" spans="1:9" x14ac:dyDescent="0.3">
      <c r="A126" s="50">
        <v>125</v>
      </c>
      <c r="B126" s="50" t="s">
        <v>624</v>
      </c>
      <c r="C126" s="61" t="s">
        <v>502</v>
      </c>
      <c r="D126" s="23" t="s">
        <v>11</v>
      </c>
      <c r="E126" s="58" t="str">
        <f>VLOOKUP(D126,all_countries!D:E,2,0)</f>
        <v>🇧🇩</v>
      </c>
      <c r="F126" s="58" t="str">
        <f>VLOOKUP(D126,Сountries!V:Z,2,0)</f>
        <v>Asia</v>
      </c>
      <c r="G126" s="52">
        <v>9148</v>
      </c>
      <c r="H126" s="52">
        <v>2551</v>
      </c>
      <c r="I126" s="57">
        <v>0.4</v>
      </c>
    </row>
    <row r="127" spans="1:9" x14ac:dyDescent="0.3">
      <c r="A127" s="50">
        <v>126</v>
      </c>
      <c r="B127" s="50" t="s">
        <v>625</v>
      </c>
      <c r="C127" s="61" t="s">
        <v>1235</v>
      </c>
      <c r="D127" s="23" t="s">
        <v>110</v>
      </c>
      <c r="E127" s="58" t="str">
        <f>VLOOKUP(D127,all_countries!D:E,2,0)</f>
        <v>🇳🇮</v>
      </c>
      <c r="F127" s="58" t="str">
        <f>VLOOKUP(D127,Сountries!V:Z,2,0)</f>
        <v>America</v>
      </c>
      <c r="G127" s="52">
        <v>8309</v>
      </c>
      <c r="H127" s="52">
        <v>2613</v>
      </c>
      <c r="I127" s="57">
        <v>0.36</v>
      </c>
    </row>
    <row r="128" spans="1:9" x14ac:dyDescent="0.3">
      <c r="A128" s="50">
        <v>127</v>
      </c>
      <c r="B128" s="50" t="s">
        <v>627</v>
      </c>
      <c r="C128" s="61" t="s">
        <v>535</v>
      </c>
      <c r="D128" s="23" t="s">
        <v>42</v>
      </c>
      <c r="E128" s="58" t="str">
        <f>VLOOKUP(D128,all_countries!D:E,2,0)</f>
        <v>🇦🇴</v>
      </c>
      <c r="F128" s="58" t="str">
        <f>VLOOKUP(D128,Сountries!V:Z,2,0)</f>
        <v>Africa</v>
      </c>
      <c r="G128" s="52">
        <v>8041</v>
      </c>
      <c r="H128" s="52">
        <v>2308</v>
      </c>
      <c r="I128" s="57">
        <v>0.35</v>
      </c>
    </row>
    <row r="129" spans="1:9" x14ac:dyDescent="0.3">
      <c r="A129" s="50">
        <v>128</v>
      </c>
      <c r="B129" s="50" t="s">
        <v>627</v>
      </c>
      <c r="C129" s="61" t="s">
        <v>549</v>
      </c>
      <c r="D129" s="23" t="s">
        <v>49</v>
      </c>
      <c r="E129" s="58" t="str">
        <f>VLOOKUP(D129,all_countries!D:E,2,0)</f>
        <v>🇬🇭</v>
      </c>
      <c r="F129" s="58" t="str">
        <f>VLOOKUP(D129,Сountries!V:Z,2,0)</f>
        <v>Africa</v>
      </c>
      <c r="G129" s="52">
        <v>7543</v>
      </c>
      <c r="H129" s="52">
        <v>2260</v>
      </c>
      <c r="I129" s="57">
        <v>0.33</v>
      </c>
    </row>
    <row r="130" spans="1:9" x14ac:dyDescent="0.3">
      <c r="A130" s="50">
        <v>129</v>
      </c>
      <c r="B130" s="50" t="s">
        <v>628</v>
      </c>
      <c r="C130" s="61" t="s">
        <v>1311</v>
      </c>
      <c r="D130" s="23" t="s">
        <v>193</v>
      </c>
      <c r="E130" s="58" t="str">
        <f>VLOOKUP(D130,all_countries!D:E,2,0)</f>
        <v>🇲🇭</v>
      </c>
      <c r="F130" s="58" t="str">
        <f>VLOOKUP(D130,Сountries!V:Z,2,0)</f>
        <v>Oceania</v>
      </c>
      <c r="G130" s="52">
        <v>7532</v>
      </c>
      <c r="H130" s="52">
        <v>6678</v>
      </c>
      <c r="I130" s="57">
        <v>0.33</v>
      </c>
    </row>
    <row r="131" spans="1:9" x14ac:dyDescent="0.3">
      <c r="A131" s="50">
        <v>130</v>
      </c>
      <c r="B131" s="50" t="s">
        <v>624</v>
      </c>
      <c r="C131" s="61" t="s">
        <v>571</v>
      </c>
      <c r="D131" s="23" t="s">
        <v>75</v>
      </c>
      <c r="E131" s="58" t="str">
        <f>VLOOKUP(D131,all_countries!D:E,2,0)</f>
        <v>🇰🇭</v>
      </c>
      <c r="F131" s="58" t="str">
        <f>VLOOKUP(D131,Сountries!V:Z,2,0)</f>
        <v>Asia</v>
      </c>
      <c r="G131" s="52">
        <v>7426</v>
      </c>
      <c r="H131" s="52">
        <v>2430</v>
      </c>
      <c r="I131" s="57">
        <v>0.33</v>
      </c>
    </row>
    <row r="132" spans="1:9" x14ac:dyDescent="0.3">
      <c r="A132" s="50">
        <v>131</v>
      </c>
      <c r="B132" s="50" t="s">
        <v>627</v>
      </c>
      <c r="C132" s="61" t="s">
        <v>552</v>
      </c>
      <c r="D132" s="23" t="s">
        <v>53</v>
      </c>
      <c r="E132" s="58" t="str">
        <f>VLOOKUP(D132,all_countries!D:E,2,0)</f>
        <v>🇨🇮</v>
      </c>
      <c r="F132" s="58" t="str">
        <f>VLOOKUP(D132,Сountries!V:Z,2,0)</f>
        <v>Africa</v>
      </c>
      <c r="G132" s="52">
        <v>7198</v>
      </c>
      <c r="H132" s="52">
        <v>2531</v>
      </c>
      <c r="I132" s="57">
        <v>0.32</v>
      </c>
    </row>
    <row r="133" spans="1:9" x14ac:dyDescent="0.3">
      <c r="A133" s="50">
        <v>132</v>
      </c>
      <c r="B133" s="50" t="s">
        <v>625</v>
      </c>
      <c r="C133" s="61" t="s">
        <v>585</v>
      </c>
      <c r="D133" s="23" t="s">
        <v>89</v>
      </c>
      <c r="E133" s="58" t="str">
        <f>VLOOKUP(D133,all_countries!D:E,2,0)</f>
        <v>🇭🇳</v>
      </c>
      <c r="F133" s="58" t="str">
        <f>VLOOKUP(D133,Сountries!V:Z,2,0)</f>
        <v>America</v>
      </c>
      <c r="G133" s="52">
        <v>7179</v>
      </c>
      <c r="H133" s="52">
        <v>3232</v>
      </c>
      <c r="I133" s="57">
        <v>0.31</v>
      </c>
    </row>
    <row r="134" spans="1:9" x14ac:dyDescent="0.3">
      <c r="A134" s="50">
        <v>133</v>
      </c>
      <c r="B134" s="50" t="s">
        <v>624</v>
      </c>
      <c r="C134" s="61" t="s">
        <v>1233</v>
      </c>
      <c r="D134" s="23" t="s">
        <v>108</v>
      </c>
      <c r="E134" s="58" t="str">
        <f>VLOOKUP(D134,all_countries!D:E,2,0)</f>
        <v>🇰🇬</v>
      </c>
      <c r="F134" s="58" t="str">
        <f>VLOOKUP(D134,Сountries!V:Z,2,0)</f>
        <v>Asia</v>
      </c>
      <c r="G134" s="52">
        <v>7106</v>
      </c>
      <c r="H134" s="52">
        <v>1977</v>
      </c>
      <c r="I134" s="57">
        <v>0.31</v>
      </c>
    </row>
    <row r="135" spans="1:9" x14ac:dyDescent="0.3">
      <c r="A135" s="50">
        <v>134</v>
      </c>
      <c r="B135" s="50" t="s">
        <v>628</v>
      </c>
      <c r="C135" s="61" t="s">
        <v>1298</v>
      </c>
      <c r="D135" s="23" t="s">
        <v>179</v>
      </c>
      <c r="E135" s="58" t="str">
        <f>VLOOKUP(D135,all_countries!D:E,2,0)</f>
        <v>🇼🇸</v>
      </c>
      <c r="F135" s="58" t="str">
        <f>VLOOKUP(D135,Сountries!V:Z,2,0)</f>
        <v>Oceania</v>
      </c>
      <c r="G135" s="52">
        <v>6997</v>
      </c>
      <c r="H135" s="52">
        <v>4330</v>
      </c>
      <c r="I135" s="57">
        <v>0.31</v>
      </c>
    </row>
    <row r="136" spans="1:9" x14ac:dyDescent="0.3">
      <c r="A136" s="50">
        <v>135</v>
      </c>
      <c r="B136" s="50" t="s">
        <v>627</v>
      </c>
      <c r="C136" s="61" t="s">
        <v>546</v>
      </c>
      <c r="D136" s="23" t="s">
        <v>125</v>
      </c>
      <c r="E136" s="58" t="str">
        <f>VLOOKUP(D136,all_countries!D:E,2,0)</f>
        <v>🇲🇷</v>
      </c>
      <c r="F136" s="58" t="str">
        <f>VLOOKUP(D136,Сountries!V:Z,2,0)</f>
        <v>Africa</v>
      </c>
      <c r="G136" s="52">
        <v>6946</v>
      </c>
      <c r="H136" s="52">
        <v>2121</v>
      </c>
      <c r="I136" s="57">
        <v>0.3</v>
      </c>
    </row>
    <row r="137" spans="1:9" x14ac:dyDescent="0.3">
      <c r="A137" s="50">
        <v>136</v>
      </c>
      <c r="B137" s="50" t="s">
        <v>627</v>
      </c>
      <c r="C137" s="61" t="s">
        <v>1238</v>
      </c>
      <c r="D137" s="23" t="s">
        <v>113</v>
      </c>
      <c r="E137" s="58" t="str">
        <f>VLOOKUP(D137,all_countries!D:E,2,0)</f>
        <v>🇨🇬</v>
      </c>
      <c r="F137" s="58" t="str">
        <f>VLOOKUP(D137,Сountries!V:Z,2,0)</f>
        <v>Africa</v>
      </c>
      <c r="G137" s="52">
        <v>6850</v>
      </c>
      <c r="H137" s="52">
        <v>2478</v>
      </c>
      <c r="I137" s="57">
        <v>0.3</v>
      </c>
    </row>
    <row r="138" spans="1:9" x14ac:dyDescent="0.3">
      <c r="A138" s="50">
        <v>137</v>
      </c>
      <c r="B138" s="50" t="s">
        <v>627</v>
      </c>
      <c r="C138" s="61" t="s">
        <v>522</v>
      </c>
      <c r="D138" s="23" t="s">
        <v>29</v>
      </c>
      <c r="E138" s="58" t="str">
        <f>VLOOKUP(D138,all_countries!D:E,2,0)</f>
        <v>🇰🇪</v>
      </c>
      <c r="F138" s="58" t="str">
        <f>VLOOKUP(D138,Сountries!V:Z,2,0)</f>
        <v>Africa</v>
      </c>
      <c r="G138" s="52">
        <v>6307</v>
      </c>
      <c r="H138" s="52">
        <v>1952</v>
      </c>
      <c r="I138" s="57">
        <v>0.28000000000000003</v>
      </c>
    </row>
    <row r="139" spans="1:9" x14ac:dyDescent="0.3">
      <c r="A139" s="50">
        <v>138</v>
      </c>
      <c r="B139" s="50" t="s">
        <v>627</v>
      </c>
      <c r="C139" s="61" t="s">
        <v>500</v>
      </c>
      <c r="D139" s="23" t="s">
        <v>9</v>
      </c>
      <c r="E139" s="58" t="str">
        <f>VLOOKUP(D139,all_countries!D:E,2,0)</f>
        <v>🇳🇬</v>
      </c>
      <c r="F139" s="58" t="str">
        <f>VLOOKUP(D139,Сountries!V:Z,2,0)</f>
        <v>Africa</v>
      </c>
      <c r="G139" s="52">
        <v>6207</v>
      </c>
      <c r="H139" s="52">
        <v>1597</v>
      </c>
      <c r="I139" s="57">
        <v>0.27</v>
      </c>
    </row>
    <row r="140" spans="1:9" x14ac:dyDescent="0.3">
      <c r="A140" s="50">
        <v>139</v>
      </c>
      <c r="B140" s="50" t="s">
        <v>628</v>
      </c>
      <c r="C140" s="61" t="s">
        <v>1315</v>
      </c>
      <c r="D140" s="23" t="s">
        <v>197</v>
      </c>
      <c r="E140" s="58" t="str">
        <f>VLOOKUP(D140,all_countries!D:E,2,0)</f>
        <v>🇹🇻</v>
      </c>
      <c r="F140" s="58" t="str">
        <f>VLOOKUP(D140,Сountries!V:Z,2,0)</f>
        <v>Oceania</v>
      </c>
      <c r="G140" s="52">
        <v>6151</v>
      </c>
      <c r="H140" s="52">
        <v>6345</v>
      </c>
      <c r="I140" s="57">
        <v>0.27</v>
      </c>
    </row>
    <row r="141" spans="1:9" x14ac:dyDescent="0.3">
      <c r="A141" s="50">
        <v>140</v>
      </c>
      <c r="B141" s="50" t="s">
        <v>627</v>
      </c>
      <c r="C141" s="61" t="s">
        <v>1297</v>
      </c>
      <c r="D141" s="23" t="s">
        <v>178</v>
      </c>
      <c r="E141" s="58" t="str">
        <f>VLOOKUP(D141,all_countries!D:E,2,0)</f>
        <v>🇸🇹</v>
      </c>
      <c r="F141" s="58" t="str">
        <f>VLOOKUP(D141,Сountries!V:Z,2,0)</f>
        <v>Africa</v>
      </c>
      <c r="G141" s="52">
        <v>6150</v>
      </c>
      <c r="H141" s="52">
        <v>2941</v>
      </c>
      <c r="I141" s="57">
        <v>0.27</v>
      </c>
    </row>
    <row r="142" spans="1:9" x14ac:dyDescent="0.3">
      <c r="A142" s="50">
        <v>141</v>
      </c>
      <c r="B142" s="50" t="s">
        <v>624</v>
      </c>
      <c r="C142" s="61" t="s">
        <v>499</v>
      </c>
      <c r="D142" s="23" t="s">
        <v>8</v>
      </c>
      <c r="E142" s="58" t="str">
        <f>VLOOKUP(D142,all_countries!D:E,2,0)</f>
        <v>🇵🇰</v>
      </c>
      <c r="F142" s="58" t="str">
        <f>VLOOKUP(D142,Сountries!V:Z,2,0)</f>
        <v>Asia</v>
      </c>
      <c r="G142" s="52">
        <v>6037</v>
      </c>
      <c r="H142" s="52">
        <v>1365</v>
      </c>
      <c r="I142" s="57">
        <v>0.26</v>
      </c>
    </row>
    <row r="143" spans="1:9" x14ac:dyDescent="0.3">
      <c r="A143" s="50">
        <v>142</v>
      </c>
      <c r="B143" s="50" t="s">
        <v>624</v>
      </c>
      <c r="C143" s="61" t="s">
        <v>505</v>
      </c>
      <c r="D143" s="23" t="s">
        <v>30</v>
      </c>
      <c r="E143" s="58" t="str">
        <f>VLOOKUP(D143,all_countries!D:E,2,0)</f>
        <v>🇲🇽</v>
      </c>
      <c r="F143" s="58" t="str">
        <f>VLOOKUP(D143,Сountries!V:Z,2,0)</f>
        <v>Asia</v>
      </c>
      <c r="G143" s="52">
        <v>5953</v>
      </c>
      <c r="H143" s="52">
        <v>1233</v>
      </c>
      <c r="I143" s="57">
        <v>0.26</v>
      </c>
    </row>
    <row r="144" spans="1:9" x14ac:dyDescent="0.3">
      <c r="A144" s="50">
        <v>143</v>
      </c>
      <c r="B144" s="50" t="s">
        <v>624</v>
      </c>
      <c r="C144" s="61" t="s">
        <v>1217</v>
      </c>
      <c r="D144" s="23" t="s">
        <v>121</v>
      </c>
      <c r="E144" s="58" t="str">
        <f>VLOOKUP(D144,all_countries!D:E,2,0)</f>
        <v>🇵🇸</v>
      </c>
      <c r="F144" s="58" t="str">
        <f>VLOOKUP(D144,Сountries!V:Z,2,0)</f>
        <v>Asia</v>
      </c>
      <c r="G144" s="52">
        <v>5897</v>
      </c>
      <c r="H144" s="52">
        <v>3221</v>
      </c>
      <c r="I144" s="57">
        <v>0.26</v>
      </c>
    </row>
    <row r="145" spans="1:9" x14ac:dyDescent="0.3">
      <c r="A145" s="50">
        <v>144</v>
      </c>
      <c r="B145" s="50" t="s">
        <v>627</v>
      </c>
      <c r="C145" s="61" t="s">
        <v>553</v>
      </c>
      <c r="D145" s="23" t="s">
        <v>54</v>
      </c>
      <c r="E145" s="58" t="str">
        <f>VLOOKUP(D145,all_countries!D:E,2,0)</f>
        <v>🇨🇲</v>
      </c>
      <c r="F145" s="58" t="str">
        <f>VLOOKUP(D145,Сountries!V:Z,2,0)</f>
        <v>Africa</v>
      </c>
      <c r="G145" s="52">
        <v>5406</v>
      </c>
      <c r="H145" s="52">
        <v>1737</v>
      </c>
      <c r="I145" s="57">
        <v>0.24</v>
      </c>
    </row>
    <row r="146" spans="1:9" x14ac:dyDescent="0.3">
      <c r="A146" s="50">
        <v>145</v>
      </c>
      <c r="B146" s="50" t="s">
        <v>624</v>
      </c>
      <c r="C146" s="61" t="s">
        <v>554</v>
      </c>
      <c r="D146" s="23" t="s">
        <v>55</v>
      </c>
      <c r="E146" s="58" t="str">
        <f>VLOOKUP(D146,all_countries!D:E,2,0)</f>
        <v>🇳🇵</v>
      </c>
      <c r="F146" s="58" t="str">
        <f>VLOOKUP(D146,Сountries!V:Z,2,0)</f>
        <v>Asia</v>
      </c>
      <c r="G146" s="52">
        <v>5394</v>
      </c>
      <c r="H146" s="52">
        <v>1378</v>
      </c>
      <c r="I146" s="57">
        <v>0.24</v>
      </c>
    </row>
    <row r="147" spans="1:9" x14ac:dyDescent="0.3">
      <c r="A147" s="50">
        <v>146</v>
      </c>
      <c r="B147" s="50" t="s">
        <v>624</v>
      </c>
      <c r="C147" s="61" t="s">
        <v>587</v>
      </c>
      <c r="D147" s="23" t="s">
        <v>91</v>
      </c>
      <c r="E147" s="58" t="str">
        <f>VLOOKUP(D147,all_countries!D:E,2,0)</f>
        <v>🇹🇯</v>
      </c>
      <c r="F147" s="58" t="str">
        <f>VLOOKUP(D147,Сountries!V:Z,2,0)</f>
        <v>Asia</v>
      </c>
      <c r="G147" s="52">
        <v>4964</v>
      </c>
      <c r="H147" s="52">
        <v>1161</v>
      </c>
      <c r="I147" s="57">
        <v>0.22</v>
      </c>
    </row>
    <row r="148" spans="1:9" x14ac:dyDescent="0.3">
      <c r="A148" s="50">
        <v>147</v>
      </c>
      <c r="B148" s="50" t="s">
        <v>624</v>
      </c>
      <c r="C148" s="61" t="s">
        <v>1277</v>
      </c>
      <c r="D148" s="23" t="s">
        <v>155</v>
      </c>
      <c r="E148" s="58" t="str">
        <f>VLOOKUP(D148,all_countries!D:E,2,0)</f>
        <v>🇹🇱</v>
      </c>
      <c r="F148" s="58" t="str">
        <f>VLOOKUP(D148,Сountries!V:Z,2,0)</f>
        <v>Asia</v>
      </c>
      <c r="G148" s="52">
        <v>4804</v>
      </c>
      <c r="H148" s="52">
        <v>1503</v>
      </c>
      <c r="I148" s="57">
        <v>0.21</v>
      </c>
    </row>
    <row r="149" spans="1:9" x14ac:dyDescent="0.3">
      <c r="A149" s="50">
        <v>148</v>
      </c>
      <c r="B149" s="50" t="s">
        <v>627</v>
      </c>
      <c r="C149" s="61" t="s">
        <v>566</v>
      </c>
      <c r="D149" s="23" t="s">
        <v>70</v>
      </c>
      <c r="E149" s="58" t="str">
        <f>VLOOKUP(D149,all_countries!D:E,2,0)</f>
        <v>🇸🇳</v>
      </c>
      <c r="F149" s="58" t="str">
        <f>VLOOKUP(D149,Сountries!V:Z,2,0)</f>
        <v>Africa</v>
      </c>
      <c r="G149" s="52">
        <v>4791</v>
      </c>
      <c r="H149" s="52">
        <v>1706</v>
      </c>
      <c r="I149" s="57">
        <v>0.21</v>
      </c>
    </row>
    <row r="150" spans="1:9" x14ac:dyDescent="0.3">
      <c r="A150" s="50">
        <v>149</v>
      </c>
      <c r="B150" s="50" t="s">
        <v>628</v>
      </c>
      <c r="C150" s="61" t="s">
        <v>588</v>
      </c>
      <c r="D150" s="23" t="s">
        <v>92</v>
      </c>
      <c r="E150" s="58" t="str">
        <f>VLOOKUP(D150,all_countries!D:E,2,0)</f>
        <v>🇵🇬</v>
      </c>
      <c r="F150" s="58" t="str">
        <f>VLOOKUP(D150,Сountries!V:Z,2,0)</f>
        <v>Oceania</v>
      </c>
      <c r="G150" s="52">
        <v>4633</v>
      </c>
      <c r="H150" s="52">
        <v>2958</v>
      </c>
      <c r="I150" s="57">
        <v>0.2</v>
      </c>
    </row>
    <row r="151" spans="1:9" x14ac:dyDescent="0.3">
      <c r="A151" s="50">
        <v>150</v>
      </c>
      <c r="B151" s="50" t="s">
        <v>627</v>
      </c>
      <c r="C151" s="61" t="s">
        <v>573</v>
      </c>
      <c r="D151" s="23" t="s">
        <v>77</v>
      </c>
      <c r="E151" s="58" t="str">
        <f>VLOOKUP(D151,all_countries!D:E,2,0)</f>
        <v>🇬🇫</v>
      </c>
      <c r="F151" s="58" t="str">
        <f>VLOOKUP(D151,Сountries!V:Z,2,0)</f>
        <v>Africa</v>
      </c>
      <c r="G151" s="52">
        <v>4383</v>
      </c>
      <c r="H151" s="52">
        <v>1541</v>
      </c>
      <c r="I151" s="57">
        <v>0.19</v>
      </c>
    </row>
    <row r="152" spans="1:9" x14ac:dyDescent="0.3">
      <c r="A152" s="50">
        <v>151</v>
      </c>
      <c r="B152" s="50" t="s">
        <v>628</v>
      </c>
      <c r="C152" s="61" t="s">
        <v>1303</v>
      </c>
      <c r="D152" s="23" t="s">
        <v>184</v>
      </c>
      <c r="E152" s="58" t="str">
        <f>VLOOKUP(D152,all_countries!D:E,2,0)</f>
        <v>🇫🇲</v>
      </c>
      <c r="F152" s="58" t="str">
        <f>VLOOKUP(D152,Сountries!V:Z,2,0)</f>
        <v>Oceania</v>
      </c>
      <c r="G152" s="52">
        <v>4314</v>
      </c>
      <c r="H152" s="52">
        <v>4084</v>
      </c>
      <c r="I152" s="57">
        <v>0.19</v>
      </c>
    </row>
    <row r="153" spans="1:9" x14ac:dyDescent="0.3">
      <c r="A153" s="50">
        <v>152</v>
      </c>
      <c r="B153" s="50" t="s">
        <v>627</v>
      </c>
      <c r="C153" s="61" t="s">
        <v>574</v>
      </c>
      <c r="D153" s="23" t="s">
        <v>78</v>
      </c>
      <c r="E153" s="58" t="str">
        <f>VLOOKUP(D153,all_countries!D:E,2,0)</f>
        <v>🇧🇯</v>
      </c>
      <c r="F153" s="58" t="str">
        <f>VLOOKUP(D153,Сountries!V:Z,2,0)</f>
        <v>Africa</v>
      </c>
      <c r="G153" s="52">
        <v>4130</v>
      </c>
      <c r="H153" s="52">
        <v>1394</v>
      </c>
      <c r="I153" s="57">
        <v>0.18</v>
      </c>
    </row>
    <row r="154" spans="1:9" x14ac:dyDescent="0.3">
      <c r="A154" s="50">
        <v>153</v>
      </c>
      <c r="B154" s="50" t="s">
        <v>627</v>
      </c>
      <c r="C154" s="61" t="s">
        <v>561</v>
      </c>
      <c r="D154" s="23" t="s">
        <v>65</v>
      </c>
      <c r="E154" s="58" t="str">
        <f>VLOOKUP(D154,all_countries!D:E,2,0)</f>
        <v>🇿🇲</v>
      </c>
      <c r="F154" s="58" t="str">
        <f>VLOOKUP(D154,Сountries!V:Z,2,0)</f>
        <v>Africa</v>
      </c>
      <c r="G154" s="52">
        <v>4077</v>
      </c>
      <c r="H154" s="52">
        <v>1331</v>
      </c>
      <c r="I154" s="57">
        <v>0.18</v>
      </c>
    </row>
    <row r="155" spans="1:9" x14ac:dyDescent="0.3">
      <c r="A155" s="50">
        <v>154</v>
      </c>
      <c r="B155" s="50" t="s">
        <v>627</v>
      </c>
      <c r="C155" s="61" t="s">
        <v>515</v>
      </c>
      <c r="D155" s="23" t="s">
        <v>24</v>
      </c>
      <c r="E155" s="58" t="str">
        <f>VLOOKUP(D155,all_countries!D:E,2,0)</f>
        <v>🇹🇿</v>
      </c>
      <c r="F155" s="58" t="str">
        <f>VLOOKUP(D155,Сountries!V:Z,2,0)</f>
        <v>Africa</v>
      </c>
      <c r="G155" s="52">
        <v>4019</v>
      </c>
      <c r="H155" s="52">
        <v>1187</v>
      </c>
      <c r="I155" s="57">
        <v>0.18</v>
      </c>
    </row>
    <row r="156" spans="1:9" x14ac:dyDescent="0.3">
      <c r="A156" s="50">
        <v>155</v>
      </c>
      <c r="B156" s="50" t="s">
        <v>627</v>
      </c>
      <c r="C156" s="61" t="s">
        <v>1283</v>
      </c>
      <c r="D156" s="23" t="s">
        <v>162</v>
      </c>
      <c r="E156" s="58" t="str">
        <f>VLOOKUP(D156,all_countries!D:E,2,0)</f>
        <v>🇰🇲</v>
      </c>
      <c r="F156" s="58" t="str">
        <f>VLOOKUP(D156,Сountries!V:Z,2,0)</f>
        <v>Africa</v>
      </c>
      <c r="G156" s="52">
        <v>3883</v>
      </c>
      <c r="H156" s="52">
        <v>1590</v>
      </c>
      <c r="I156" s="57">
        <v>0.17</v>
      </c>
    </row>
    <row r="157" spans="1:9" x14ac:dyDescent="0.3">
      <c r="A157" s="50">
        <v>156</v>
      </c>
      <c r="B157" s="50" t="s">
        <v>627</v>
      </c>
      <c r="C157" s="61" t="s">
        <v>572</v>
      </c>
      <c r="D157" s="23" t="s">
        <v>76</v>
      </c>
      <c r="E157" s="58" t="str">
        <f>VLOOKUP(D157,all_countries!D:E,2,0)</f>
        <v>🇿🇼</v>
      </c>
      <c r="F157" s="58" t="str">
        <f>VLOOKUP(D157,Сountries!V:Z,2,0)</f>
        <v>Africa</v>
      </c>
      <c r="G157" s="52">
        <v>3820</v>
      </c>
      <c r="H157" s="52">
        <v>2156</v>
      </c>
      <c r="I157" s="57">
        <v>0.17</v>
      </c>
    </row>
    <row r="158" spans="1:9" x14ac:dyDescent="0.3">
      <c r="A158" s="50">
        <v>157</v>
      </c>
      <c r="B158" s="50" t="s">
        <v>628</v>
      </c>
      <c r="C158" s="61" t="s">
        <v>1300</v>
      </c>
      <c r="D158" s="23" t="s">
        <v>181</v>
      </c>
      <c r="E158" s="58" t="str">
        <f>VLOOKUP(D158,all_countries!D:E,2,0)</f>
        <v>🇰🇮</v>
      </c>
      <c r="F158" s="58" t="str">
        <f>VLOOKUP(D158,Сountries!V:Z,2,0)</f>
        <v>Oceania</v>
      </c>
      <c r="G158" s="52">
        <v>3547</v>
      </c>
      <c r="H158" s="52">
        <v>2107</v>
      </c>
      <c r="I158" s="57">
        <v>0.16</v>
      </c>
    </row>
    <row r="159" spans="1:9" x14ac:dyDescent="0.3">
      <c r="A159" s="50">
        <v>158</v>
      </c>
      <c r="B159" s="50" t="s">
        <v>628</v>
      </c>
      <c r="C159" s="61" t="s">
        <v>1295</v>
      </c>
      <c r="D159" s="23" t="s">
        <v>176</v>
      </c>
      <c r="E159" s="58" t="str">
        <f>VLOOKUP(D159,all_countries!D:E,2,0)</f>
        <v>🇻🇺</v>
      </c>
      <c r="F159" s="58" t="str">
        <f>VLOOKUP(D159,Сountries!V:Z,2,0)</f>
        <v>Oceania</v>
      </c>
      <c r="G159" s="52">
        <v>3461</v>
      </c>
      <c r="H159" s="52">
        <v>3515</v>
      </c>
      <c r="I159" s="57">
        <v>0.15</v>
      </c>
    </row>
    <row r="160" spans="1:9" x14ac:dyDescent="0.3">
      <c r="A160" s="50">
        <v>159</v>
      </c>
      <c r="B160" s="50" t="s">
        <v>627</v>
      </c>
      <c r="C160" s="61" t="s">
        <v>575</v>
      </c>
      <c r="D160" s="23" t="s">
        <v>79</v>
      </c>
      <c r="E160" s="58" t="str">
        <f>VLOOKUP(D160,all_countries!D:E,2,0)</f>
        <v>🇷🇼</v>
      </c>
      <c r="F160" s="58" t="str">
        <f>VLOOKUP(D160,Сountries!V:Z,2,0)</f>
        <v>Africa</v>
      </c>
      <c r="G160" s="52">
        <v>3396</v>
      </c>
      <c r="H160" s="52">
        <v>1010</v>
      </c>
      <c r="I160" s="57">
        <v>0.15</v>
      </c>
    </row>
    <row r="161" spans="1:9" x14ac:dyDescent="0.3">
      <c r="A161" s="50">
        <v>160</v>
      </c>
      <c r="B161" s="50" t="s">
        <v>627</v>
      </c>
      <c r="C161" s="61" t="s">
        <v>600</v>
      </c>
      <c r="D161" s="23" t="s">
        <v>104</v>
      </c>
      <c r="E161" s="58" t="str">
        <f>VLOOKUP(D161,all_countries!D:E,2,0)</f>
        <v>🇸🇱</v>
      </c>
      <c r="F161" s="58" t="str">
        <f>VLOOKUP(D161,Сountries!V:Z,2,0)</f>
        <v>Africa</v>
      </c>
      <c r="G161" s="52">
        <v>3368</v>
      </c>
      <c r="H161" s="52">
        <v>758</v>
      </c>
      <c r="I161" s="57">
        <v>0.15</v>
      </c>
    </row>
    <row r="162" spans="1:9" x14ac:dyDescent="0.3">
      <c r="A162" s="50">
        <v>161</v>
      </c>
      <c r="B162" s="50" t="s">
        <v>628</v>
      </c>
      <c r="C162" s="61" t="s">
        <v>580</v>
      </c>
      <c r="D162" s="23" t="s">
        <v>84</v>
      </c>
      <c r="E162" s="58" t="str">
        <f>VLOOKUP(D162,all_countries!D:E,2,0)</f>
        <v>🇭🇹</v>
      </c>
      <c r="F162" s="58" t="str">
        <f>VLOOKUP(D162,Сountries!V:Z,2,0)</f>
        <v>Oceania</v>
      </c>
      <c r="G162" s="52">
        <v>3281</v>
      </c>
      <c r="H162" s="52">
        <v>1706</v>
      </c>
      <c r="I162" s="57">
        <v>0.14000000000000001</v>
      </c>
    </row>
    <row r="163" spans="1:9" x14ac:dyDescent="0.3">
      <c r="A163" s="50">
        <v>162</v>
      </c>
      <c r="B163" s="50" t="s">
        <v>627</v>
      </c>
      <c r="C163" s="61" t="s">
        <v>1265</v>
      </c>
      <c r="D163" s="23" t="s">
        <v>143</v>
      </c>
      <c r="E163" s="58" t="str">
        <f>VLOOKUP(D163,all_countries!D:E,2,0)</f>
        <v>🇬🇲</v>
      </c>
      <c r="F163" s="58" t="str">
        <f>VLOOKUP(D163,Сountries!V:Z,2,0)</f>
        <v>Africa</v>
      </c>
      <c r="G163" s="52">
        <v>3254</v>
      </c>
      <c r="H163" s="52">
        <v>888</v>
      </c>
      <c r="I163" s="57">
        <v>0.14000000000000001</v>
      </c>
    </row>
    <row r="164" spans="1:9" x14ac:dyDescent="0.3">
      <c r="A164" s="50">
        <v>163</v>
      </c>
      <c r="B164" s="50" t="s">
        <v>627</v>
      </c>
      <c r="C164" s="61" t="s">
        <v>527</v>
      </c>
      <c r="D164" s="23" t="s">
        <v>34</v>
      </c>
      <c r="E164" s="58" t="str">
        <f>VLOOKUP(D164,all_countries!D:E,2,0)</f>
        <v>🇺🇬</v>
      </c>
      <c r="F164" s="58" t="str">
        <f>VLOOKUP(D164,Сountries!V:Z,2,0)</f>
        <v>Africa</v>
      </c>
      <c r="G164" s="52">
        <v>3098</v>
      </c>
      <c r="H164" s="52">
        <v>1002</v>
      </c>
      <c r="I164" s="57">
        <v>0.14000000000000001</v>
      </c>
    </row>
    <row r="165" spans="1:9" x14ac:dyDescent="0.3">
      <c r="A165" s="50">
        <v>164</v>
      </c>
      <c r="B165" s="50" t="s">
        <v>627</v>
      </c>
      <c r="C165" s="61" t="s">
        <v>594</v>
      </c>
      <c r="D165" s="23" t="s">
        <v>98</v>
      </c>
      <c r="E165" s="58" t="str">
        <f>VLOOKUP(D165,all_countries!D:E,2,0)</f>
        <v>🇹🇬</v>
      </c>
      <c r="F165" s="58" t="str">
        <f>VLOOKUP(D165,Сountries!V:Z,2,0)</f>
        <v>Africa</v>
      </c>
      <c r="G165" s="52">
        <v>3072</v>
      </c>
      <c r="H165" s="52">
        <v>986</v>
      </c>
      <c r="I165" s="57">
        <v>0.13</v>
      </c>
    </row>
    <row r="166" spans="1:9" x14ac:dyDescent="0.3">
      <c r="A166" s="50">
        <v>165</v>
      </c>
      <c r="B166" s="50" t="s">
        <v>627</v>
      </c>
      <c r="C166" s="61" t="s">
        <v>504</v>
      </c>
      <c r="D166" s="23" t="s">
        <v>13</v>
      </c>
      <c r="E166" s="58" t="str">
        <f>VLOOKUP(D166,all_countries!D:E,2,0)</f>
        <v>🇪🇹</v>
      </c>
      <c r="F166" s="58" t="str">
        <f>VLOOKUP(D166,Сountries!V:Z,2,0)</f>
        <v>Africa</v>
      </c>
      <c r="G166" s="52">
        <v>3058</v>
      </c>
      <c r="H166" s="52">
        <v>1272</v>
      </c>
      <c r="I166" s="57">
        <v>0.13</v>
      </c>
    </row>
    <row r="167" spans="1:9" x14ac:dyDescent="0.3">
      <c r="A167" s="50">
        <v>166</v>
      </c>
      <c r="B167" s="50" t="s">
        <v>627</v>
      </c>
      <c r="C167" s="61" t="s">
        <v>1269</v>
      </c>
      <c r="D167" s="23" t="s">
        <v>147</v>
      </c>
      <c r="E167" s="58" t="str">
        <f>VLOOKUP(D167,all_countries!D:E,2,0)</f>
        <v>🇱🇸</v>
      </c>
      <c r="F167" s="58" t="str">
        <f>VLOOKUP(D167,Сountries!V:Z,2,0)</f>
        <v>Africa</v>
      </c>
      <c r="G167" s="52">
        <v>2881</v>
      </c>
      <c r="H167" s="52">
        <v>916</v>
      </c>
      <c r="I167" s="57">
        <v>0.13</v>
      </c>
    </row>
    <row r="168" spans="1:9" x14ac:dyDescent="0.3">
      <c r="A168" s="50">
        <v>167</v>
      </c>
      <c r="B168" s="50" t="s">
        <v>627</v>
      </c>
      <c r="C168" s="61" t="s">
        <v>1270</v>
      </c>
      <c r="D168" s="23" t="s">
        <v>148</v>
      </c>
      <c r="E168" s="58" t="str">
        <f>VLOOKUP(D168,all_countries!D:E,2,0)</f>
        <v>🇬🇳</v>
      </c>
      <c r="F168" s="58" t="str">
        <f>VLOOKUP(D168,Сountries!V:Z,2,0)</f>
        <v>Africa</v>
      </c>
      <c r="G168" s="52">
        <v>2862</v>
      </c>
      <c r="H168" s="52">
        <v>951</v>
      </c>
      <c r="I168" s="57">
        <v>0.13</v>
      </c>
    </row>
    <row r="169" spans="1:9" x14ac:dyDescent="0.3">
      <c r="A169" s="50">
        <v>168</v>
      </c>
      <c r="B169" s="50" t="s">
        <v>628</v>
      </c>
      <c r="C169" s="61" t="s">
        <v>1284</v>
      </c>
      <c r="D169" s="23" t="s">
        <v>163</v>
      </c>
      <c r="E169" s="58" t="str">
        <f>VLOOKUP(D169,all_countries!D:E,2,0)</f>
        <v>🇸🇧</v>
      </c>
      <c r="F169" s="58" t="str">
        <f>VLOOKUP(D169,Сountries!V:Z,2,0)</f>
        <v>Oceania</v>
      </c>
      <c r="G169" s="52">
        <v>2812</v>
      </c>
      <c r="H169" s="52">
        <v>2042</v>
      </c>
      <c r="I169" s="57">
        <v>0.12</v>
      </c>
    </row>
    <row r="170" spans="1:9" x14ac:dyDescent="0.3">
      <c r="A170" s="50">
        <v>169</v>
      </c>
      <c r="B170" s="50" t="s">
        <v>627</v>
      </c>
      <c r="C170" s="61" t="s">
        <v>559</v>
      </c>
      <c r="D170" s="23" t="s">
        <v>62</v>
      </c>
      <c r="E170" s="58" t="str">
        <f>VLOOKUP(D170,all_countries!D:E,2,0)</f>
        <v>🇧🇫</v>
      </c>
      <c r="F170" s="58" t="str">
        <f>VLOOKUP(D170,Сountries!V:Z,2,0)</f>
        <v>Africa</v>
      </c>
      <c r="G170" s="52">
        <v>2755</v>
      </c>
      <c r="H170" s="52">
        <v>883</v>
      </c>
      <c r="I170" s="57">
        <v>0.12</v>
      </c>
    </row>
    <row r="171" spans="1:9" x14ac:dyDescent="0.3">
      <c r="A171" s="50">
        <v>170</v>
      </c>
      <c r="B171" s="50" t="s">
        <v>627</v>
      </c>
      <c r="C171" s="61" t="s">
        <v>526</v>
      </c>
      <c r="D171" s="23" t="s">
        <v>33</v>
      </c>
      <c r="E171" s="58" t="str">
        <f>VLOOKUP(D171,all_countries!D:E,2,0)</f>
        <v>🇸🇩</v>
      </c>
      <c r="F171" s="58" t="str">
        <f>VLOOKUP(D171,Сountries!V:Z,2,0)</f>
        <v>Africa</v>
      </c>
      <c r="G171" s="52">
        <v>2740</v>
      </c>
      <c r="H171" s="52">
        <v>2183</v>
      </c>
      <c r="I171" s="57">
        <v>0.12</v>
      </c>
    </row>
    <row r="172" spans="1:9" x14ac:dyDescent="0.3">
      <c r="A172" s="50">
        <v>171</v>
      </c>
      <c r="B172" s="50" t="s">
        <v>627</v>
      </c>
      <c r="C172" s="61" t="s">
        <v>543</v>
      </c>
      <c r="D172" s="23" t="s">
        <v>61</v>
      </c>
      <c r="E172" s="58" t="str">
        <f>VLOOKUP(D172,all_countries!D:E,2,0)</f>
        <v>🇲🇱</v>
      </c>
      <c r="F172" s="58" t="str">
        <f>VLOOKUP(D172,Сountries!V:Z,2,0)</f>
        <v>Africa</v>
      </c>
      <c r="G172" s="52">
        <v>2658</v>
      </c>
      <c r="H172" s="52">
        <v>869</v>
      </c>
      <c r="I172" s="57">
        <v>0.12</v>
      </c>
    </row>
    <row r="173" spans="1:9" x14ac:dyDescent="0.3">
      <c r="A173" s="50">
        <v>172</v>
      </c>
      <c r="B173" s="50" t="s">
        <v>624</v>
      </c>
      <c r="C173" s="61" t="s">
        <v>532</v>
      </c>
      <c r="D173" s="23" t="s">
        <v>39</v>
      </c>
      <c r="E173" s="58" t="str">
        <f>VLOOKUP(D173,all_countries!D:E,2,0)</f>
        <v>🇦🇫</v>
      </c>
      <c r="F173" s="58" t="str">
        <f>VLOOKUP(D173,Сountries!V:Z,2,0)</f>
        <v>Asia</v>
      </c>
      <c r="G173" s="52">
        <v>2211</v>
      </c>
      <c r="H173" s="52">
        <v>416</v>
      </c>
      <c r="I173" s="57">
        <v>0.1</v>
      </c>
    </row>
    <row r="174" spans="1:9" x14ac:dyDescent="0.3">
      <c r="A174" s="50">
        <v>173</v>
      </c>
      <c r="B174" s="50" t="s">
        <v>627</v>
      </c>
      <c r="C174" s="61" t="s">
        <v>556</v>
      </c>
      <c r="D174" s="23" t="s">
        <v>57</v>
      </c>
      <c r="E174" s="58" t="str">
        <f>VLOOKUP(D174,all_countries!D:E,2,0)</f>
        <v>🇳🇪</v>
      </c>
      <c r="F174" s="58" t="str">
        <f>VLOOKUP(D174,Сountries!V:Z,2,0)</f>
        <v>Africa</v>
      </c>
      <c r="G174" s="52">
        <v>1891</v>
      </c>
      <c r="H174" s="52">
        <v>643</v>
      </c>
      <c r="I174" s="57">
        <v>0.08</v>
      </c>
    </row>
    <row r="175" spans="1:9" x14ac:dyDescent="0.3">
      <c r="A175" s="50">
        <v>174</v>
      </c>
      <c r="B175" s="50" t="s">
        <v>627</v>
      </c>
      <c r="C175" s="61" t="s">
        <v>562</v>
      </c>
      <c r="D175" s="23" t="s">
        <v>66</v>
      </c>
      <c r="E175" s="58" t="str">
        <f>VLOOKUP(D175,all_countries!D:E,2,0)</f>
        <v>🇹🇩</v>
      </c>
      <c r="F175" s="58" t="str">
        <f>VLOOKUP(D175,Сountries!V:Z,2,0)</f>
        <v>Africa</v>
      </c>
      <c r="G175" s="52">
        <v>1864</v>
      </c>
      <c r="H175" s="52">
        <v>681</v>
      </c>
      <c r="I175" s="57">
        <v>0.08</v>
      </c>
    </row>
    <row r="176" spans="1:9" x14ac:dyDescent="0.3">
      <c r="A176" s="50">
        <v>175</v>
      </c>
      <c r="B176" s="50" t="s">
        <v>627</v>
      </c>
      <c r="C176" s="61" t="s">
        <v>541</v>
      </c>
      <c r="D176" s="23" t="s">
        <v>64</v>
      </c>
      <c r="E176" s="58" t="str">
        <f>VLOOKUP(D176,all_countries!D:E,2,0)</f>
        <v>🇲🇼</v>
      </c>
      <c r="F176" s="58" t="str">
        <f>VLOOKUP(D176,Сountries!V:Z,2,0)</f>
        <v>Africa</v>
      </c>
      <c r="G176" s="52">
        <v>1830</v>
      </c>
      <c r="H176" s="52">
        <v>602</v>
      </c>
      <c r="I176" s="57">
        <v>0.08</v>
      </c>
    </row>
    <row r="177" spans="1:9" x14ac:dyDescent="0.3">
      <c r="A177" s="50">
        <v>176</v>
      </c>
      <c r="B177" s="50" t="s">
        <v>627</v>
      </c>
      <c r="C177" s="61" t="s">
        <v>542</v>
      </c>
      <c r="D177" s="23" t="s">
        <v>52</v>
      </c>
      <c r="E177" s="58" t="str">
        <f>VLOOKUP(D177,all_countries!D:E,2,0)</f>
        <v>🇲🇬</v>
      </c>
      <c r="F177" s="58" t="str">
        <f>VLOOKUP(D177,Сountries!V:Z,2,0)</f>
        <v>Africa</v>
      </c>
      <c r="G177" s="52">
        <v>1824</v>
      </c>
      <c r="H177" s="52">
        <v>506</v>
      </c>
      <c r="I177" s="57">
        <v>0.08</v>
      </c>
    </row>
    <row r="178" spans="1:9" x14ac:dyDescent="0.3">
      <c r="A178" s="50">
        <v>177</v>
      </c>
      <c r="B178" s="50" t="s">
        <v>627</v>
      </c>
      <c r="C178" s="61" t="s">
        <v>1243</v>
      </c>
      <c r="D178" s="23" t="s">
        <v>118</v>
      </c>
      <c r="E178" s="58" t="str">
        <f>VLOOKUP(D178,all_countries!D:E,2,0)</f>
        <v>🇱🇷</v>
      </c>
      <c r="F178" s="58" t="str">
        <f>VLOOKUP(D178,Сountries!V:Z,2,0)</f>
        <v>Africa</v>
      </c>
      <c r="G178" s="52">
        <v>1795</v>
      </c>
      <c r="H178" s="52">
        <v>772</v>
      </c>
      <c r="I178" s="57">
        <v>0.08</v>
      </c>
    </row>
    <row r="179" spans="1:9" x14ac:dyDescent="0.3">
      <c r="A179" s="50">
        <v>178</v>
      </c>
      <c r="B179" s="50" t="s">
        <v>627</v>
      </c>
      <c r="C179" s="61" t="s">
        <v>548</v>
      </c>
      <c r="D179" s="23" t="s">
        <v>48</v>
      </c>
      <c r="E179" s="58" t="str">
        <f>VLOOKUP(D179,all_countries!D:E,2,0)</f>
        <v>🇲🇿</v>
      </c>
      <c r="F179" s="58" t="str">
        <f>VLOOKUP(D179,Сountries!V:Z,2,0)</f>
        <v>Africa</v>
      </c>
      <c r="G179" s="52">
        <v>1678</v>
      </c>
      <c r="H179" s="52">
        <v>623</v>
      </c>
      <c r="I179" s="57">
        <v>7.0000000000000007E-2</v>
      </c>
    </row>
    <row r="180" spans="1:9" x14ac:dyDescent="0.3">
      <c r="A180" s="50">
        <v>179</v>
      </c>
      <c r="B180" s="50" t="s">
        <v>627</v>
      </c>
      <c r="C180" s="61" t="s">
        <v>509</v>
      </c>
      <c r="D180" s="23" t="s">
        <v>18</v>
      </c>
      <c r="E180" s="58" t="str">
        <f>VLOOKUP(D180,all_countries!D:E,2,0)</f>
        <v>🇨🇩</v>
      </c>
      <c r="F180" s="58" t="str">
        <f>VLOOKUP(D180,Сountries!V:Z,2,0)</f>
        <v>Africa</v>
      </c>
      <c r="G180" s="52">
        <v>1616</v>
      </c>
      <c r="H180" s="52">
        <v>628</v>
      </c>
      <c r="I180" s="57">
        <v>7.0000000000000007E-2</v>
      </c>
    </row>
    <row r="181" spans="1:9" x14ac:dyDescent="0.3">
      <c r="A181" s="50">
        <v>180</v>
      </c>
      <c r="B181" s="50" t="s">
        <v>627</v>
      </c>
      <c r="C181" s="61" t="s">
        <v>1246</v>
      </c>
      <c r="D181" s="23" t="s">
        <v>122</v>
      </c>
      <c r="E181" s="58" t="str">
        <f>VLOOKUP(D181,all_countries!D:E,2,0)</f>
        <v>🇨🇫</v>
      </c>
      <c r="F181" s="58" t="str">
        <f>VLOOKUP(D181,Сountries!V:Z,2,0)</f>
        <v>Africa</v>
      </c>
      <c r="G181" s="52">
        <v>1260</v>
      </c>
      <c r="H181" s="52">
        <v>496</v>
      </c>
      <c r="I181" s="57">
        <v>0.06</v>
      </c>
    </row>
    <row r="182" spans="1:9" x14ac:dyDescent="0.3">
      <c r="A182" s="50">
        <v>181</v>
      </c>
      <c r="B182" s="50" t="s">
        <v>627</v>
      </c>
      <c r="C182" s="61" t="s">
        <v>576</v>
      </c>
      <c r="D182" s="23" t="s">
        <v>80</v>
      </c>
      <c r="E182" s="58" t="str">
        <f>VLOOKUP(D182,all_countries!D:E,2,0)</f>
        <v>🇧🇮</v>
      </c>
      <c r="F182" s="58" t="str">
        <f>VLOOKUP(D182,Сountries!V:Z,2,0)</f>
        <v>Africa</v>
      </c>
      <c r="G182" s="52">
        <v>920</v>
      </c>
      <c r="H182" s="52">
        <v>193</v>
      </c>
      <c r="I182" s="57">
        <v>0.04</v>
      </c>
    </row>
    <row r="1048576" spans="7:9" x14ac:dyDescent="0.3">
      <c r="G1048576" s="51"/>
      <c r="H1048576" s="51"/>
      <c r="I1048576" s="56"/>
    </row>
  </sheetData>
  <autoFilter ref="A1:I1048576" xr:uid="{CEE40FEE-8615-6647-B699-8451854ECFFC}"/>
  <hyperlinks>
    <hyperlink ref="D2" r:id="rId1" display="https://www.worldometers.info/gdp/singapore-gdp/" xr:uid="{4E81F1F0-5231-6E40-AC6D-0CAD677107A2}"/>
    <hyperlink ref="D3" r:id="rId2" display="https://www.worldometers.info/gdp/luxembourg-gdp/" xr:uid="{4B1142D0-7695-354A-92A3-371E6F4E71FA}"/>
    <hyperlink ref="D4" r:id="rId3" display="https://www.worldometers.info/gdp/qatar-gdp/" xr:uid="{2DD98989-DD8C-194A-B9BB-9C05FA62A677}"/>
    <hyperlink ref="D5" r:id="rId4" display="https://www.worldometers.info/gdp/ireland-gdp/" xr:uid="{406B548D-256E-3741-BCFF-8D8F7B8B7B48}"/>
    <hyperlink ref="D6" r:id="rId5" display="https://www.worldometers.info/gdp/china-macao-sar-gdp/" xr:uid="{95731954-7C73-0240-9BE3-276D36143A0A}"/>
    <hyperlink ref="D7" r:id="rId6" display="https://www.worldometers.info/gdp/norway-gdp/" xr:uid="{57F2AD59-4A1C-224A-B8FE-15D58F49381E}"/>
    <hyperlink ref="D8" r:id="rId7" display="https://www.worldometers.info/gdp/switzerland-gdp/" xr:uid="{20E68CEC-6198-954B-B8A0-DC02E435721E}"/>
    <hyperlink ref="D9" r:id="rId8" display="https://www.worldometers.info/gdp/brunei-darussalam-gdp/" xr:uid="{1F7C5680-E23A-674D-9D78-10ABFBCC1CBC}"/>
    <hyperlink ref="D10" r:id="rId9" display="https://www.worldometers.info/gdp/us-gdp/" xr:uid="{1D0C2988-6824-F642-B230-80B6597FF760}"/>
    <hyperlink ref="D11" r:id="rId10" display="https://www.worldometers.info/gdp/netherlands-gdp/" xr:uid="{E726D7BE-1F30-5C43-BE18-4B5A96F475F6}"/>
    <hyperlink ref="D12" r:id="rId11" display="https://www.worldometers.info/gdp/iceland-gdp/" xr:uid="{3B5A4617-74B1-2042-98EA-3F69D8E6C896}"/>
    <hyperlink ref="D13" r:id="rId12" display="https://www.worldometers.info/gdp/united-arab-emirates-gdp/" xr:uid="{568C0241-E460-AD40-ADA2-E458CE284096}"/>
    <hyperlink ref="D14" r:id="rId13" display="https://www.worldometers.info/gdp/denmark-gdp/" xr:uid="{5842ED78-58EE-484A-84AB-589176597CF3}"/>
    <hyperlink ref="D15" r:id="rId14" display="https://www.worldometers.info/gdp/andorra-gdp/" xr:uid="{C64F0230-8592-A246-A1CC-96CDE528261B}"/>
    <hyperlink ref="D16" r:id="rId15" display="https://www.worldometers.info/gdp/china-hong-kong-sar-gdp/" xr:uid="{D741F4DC-02CF-AB4C-B2AD-EA8F9B33A2DC}"/>
    <hyperlink ref="D17" r:id="rId16" display="https://www.worldometers.info/gdp/australia-gdp/" xr:uid="{5E9DD4BB-0C2E-FD4F-9837-8806FA79BA92}"/>
    <hyperlink ref="D18" r:id="rId17" display="https://www.worldometers.info/gdp/austria-gdp/" xr:uid="{3E562D9C-FF74-534B-B7AC-190D6A0CE17F}"/>
    <hyperlink ref="D19" r:id="rId18" display="https://www.worldometers.info/gdp/germany-gdp/" xr:uid="{82AAD223-7CD3-DC4F-AD87-9A3A31685A14}"/>
    <hyperlink ref="D20" r:id="rId19" display="https://www.worldometers.info/gdp/belgium-gdp/" xr:uid="{D8B697E6-B2EC-2549-8148-70DABEADD03C}"/>
    <hyperlink ref="D21" r:id="rId20" display="https://www.worldometers.info/gdp/sweden-gdp/" xr:uid="{7AFA40E7-EFAA-784A-AA42-69C24FC772B1}"/>
    <hyperlink ref="D22" r:id="rId21" display="https://www.worldometers.info/gdp/bahrain-gdp/" xr:uid="{405C2837-94B1-1841-9A7C-BE68D1C95E40}"/>
    <hyperlink ref="D23" r:id="rId22" display="https://www.worldometers.info/gdp/canada-gdp/" xr:uid="{6997135E-A89B-BC44-8548-E0AC5AB4B34D}"/>
    <hyperlink ref="D24" r:id="rId23" display="https://www.worldometers.info/gdp/malta-gdp/" xr:uid="{854EB7A8-C157-AC4E-9FC2-24F5B728F706}"/>
    <hyperlink ref="D25" r:id="rId24" display="https://www.worldometers.info/gdp/finland-gdp/" xr:uid="{AD517451-0631-2741-A100-E336D7DB34ED}"/>
    <hyperlink ref="D26" r:id="rId25" display="https://www.worldometers.info/gdp/saudi-arabia-gdp/" xr:uid="{98250C00-400A-2548-8373-A3ADAE19E7AD}"/>
    <hyperlink ref="D27" r:id="rId26" display="https://www.worldometers.info/gdp/uk-gdp/" xr:uid="{068F3389-AD38-2C44-8ADD-6AF461EDA862}"/>
    <hyperlink ref="D28" r:id="rId27" display="https://www.worldometers.info/gdp/france-gdp/" xr:uid="{19A2EDF0-C010-914E-9962-4AC9FFE3BC46}"/>
    <hyperlink ref="D29" r:id="rId28" display="https://www.worldometers.info/gdp/italy-gdp/" xr:uid="{53246D49-A211-1E4D-988A-E5FAB5A449C2}"/>
    <hyperlink ref="D30" r:id="rId29" display="https://www.worldometers.info/gdp/cyprus-gdp/" xr:uid="{D691B8EF-2BBF-2344-87A4-FF3CBD694235}"/>
    <hyperlink ref="D31" r:id="rId30" display="https://www.worldometers.info/gdp/guyana-gdp/" xr:uid="{C3B6E5BE-B0F5-7A46-91DF-7331F0AC539F}"/>
    <hyperlink ref="D32" r:id="rId31" display="https://www.worldometers.info/gdp/israel-gdp/" xr:uid="{8E59547D-711A-D34F-9923-39EC375C8700}"/>
    <hyperlink ref="D33" r:id="rId32" display="https://www.worldometers.info/gdp/slovenia-gdp/" xr:uid="{638368DA-5617-D14B-B812-C70BBD963181}"/>
    <hyperlink ref="D34" r:id="rId33" display="https://www.worldometers.info/gdp/new-zealand-gdp/" xr:uid="{0736695D-3C8C-CD41-9532-3B72F50BD917}"/>
    <hyperlink ref="D35" r:id="rId34" display="https://www.worldometers.info/gdp/spain-gdp/" xr:uid="{0ECFCF1B-5165-6A4C-B1A8-07347C578489}"/>
    <hyperlink ref="D36" r:id="rId35" display="https://www.worldometers.info/gdp/czechia-gdp/" xr:uid="{1AE4CADC-5E2B-7445-94E4-A20E825382E9}"/>
    <hyperlink ref="D37" r:id="rId36" display="https://www.worldometers.info/gdp/south-korea-gdp/" xr:uid="{AC6A1D6C-7341-D347-B7C8-3BD15581C4C0}"/>
    <hyperlink ref="D38" r:id="rId37" display="https://www.worldometers.info/gdp/kuwait-gdp/" xr:uid="{1A31CA97-C6A6-254E-983F-57C979CD4D9C}"/>
    <hyperlink ref="D39" r:id="rId38" display="https://www.worldometers.info/gdp/lithuania-gdp/" xr:uid="{5E69BAF3-A37F-7045-88AD-6BF3CB60C5D3}"/>
    <hyperlink ref="D40" r:id="rId39" display="https://www.worldometers.info/gdp/japan-gdp/" xr:uid="{B5EE7CDC-285A-1540-95F3-F23F18461DF3}"/>
    <hyperlink ref="D41" r:id="rId40" display="https://www.worldometers.info/gdp/portugal-gdp/" xr:uid="{ABEB3678-9C92-E347-8A87-61BE811F0265}"/>
    <hyperlink ref="D42" r:id="rId41" display="https://www.worldometers.info/gdp/estonia-gdp/" xr:uid="{80E8EC26-4253-9D4A-A510-3977DBC65AF1}"/>
    <hyperlink ref="D43" r:id="rId42" display="https://www.worldometers.info/gdp/poland-gdp/" xr:uid="{EB260861-84F7-5C4B-A084-EEE2F52B47A5}"/>
    <hyperlink ref="D44" r:id="rId43" display="https://www.worldometers.info/gdp/romania-gdp/" xr:uid="{07E42602-CF7C-D94E-A26B-41FE3E8FFC44}"/>
    <hyperlink ref="D45" r:id="rId44" display="https://www.worldometers.info/gdp/croatia-gdp/" xr:uid="{1803A28E-BD80-0A4E-B514-BD08C7BCD7A0}"/>
    <hyperlink ref="D46" r:id="rId45" display="https://www.worldometers.info/gdp/aruba-gdp/" xr:uid="{5BA5C35D-263F-F641-994B-BABE7D9A0CA4}"/>
    <hyperlink ref="D47" r:id="rId46" display="https://www.worldometers.info/gdp/hungary-gdp/" xr:uid="{716DF294-1A4B-5340-A990-A4E568A839C4}"/>
    <hyperlink ref="D48" r:id="rId47" display="https://www.worldometers.info/gdp/russia-gdp/" xr:uid="{10B8A9A9-AD5D-3645-8F77-0382B2284AC9}"/>
    <hyperlink ref="D49" r:id="rId48" display="https://www.worldometers.info/gdp/slovakia-gdp/" xr:uid="{A27F8003-AD76-2841-A5E6-387BF3DCB1E6}"/>
    <hyperlink ref="D50" r:id="rId49" display="https://www.worldometers.info/gdp/oman-gdp/" xr:uid="{09DAB75E-C12F-5649-98C3-088B955111A6}"/>
    <hyperlink ref="D51" r:id="rId50" display="https://www.worldometers.info/gdp/turkey-gdp/" xr:uid="{1415567B-878A-8E45-BDCD-FD5F4BB23DBA}"/>
    <hyperlink ref="D52" r:id="rId51" display="https://www.worldometers.info/gdp/latvia-gdp/" xr:uid="{CFBB8E17-6A2F-754A-92E1-75D60054173B}"/>
    <hyperlink ref="D53" r:id="rId52" display="https://www.worldometers.info/gdp/greece-gdp/" xr:uid="{ABADC1C6-B4F6-A34D-80CA-52E1385718F2}"/>
    <hyperlink ref="D54" r:id="rId53" display="https://www.worldometers.info/gdp/panama-gdp/" xr:uid="{856A5F36-FF9B-834A-AC17-E0AAD47398FA}"/>
    <hyperlink ref="D55" r:id="rId54" display="https://www.worldometers.info/gdp/kazakhstan-gdp/" xr:uid="{94041951-66C7-FF44-A614-1601AE38EF3A}"/>
    <hyperlink ref="D56" r:id="rId55" display="https://www.worldometers.info/gdp/bulgaria-gdp/" xr:uid="{2179FEC4-6E15-5741-AE36-732D6449C0DB}"/>
    <hyperlink ref="D57" r:id="rId56" display="https://www.worldometers.info/gdp/bahamas-gdp/" xr:uid="{DB813D25-0DC0-C944-9515-30850D3172A7}"/>
    <hyperlink ref="D58" r:id="rId57" display="https://www.worldometers.info/gdp/malaysia-gdp/" xr:uid="{60AD68DB-E949-4045-AC4C-E7EB94C5A181}"/>
    <hyperlink ref="D59" r:id="rId58" display="https://www.worldometers.info/gdp/trinidad-and-tobago-gdp/" xr:uid="{60B57054-A0C6-B747-A717-48E47BE94224}"/>
    <hyperlink ref="D60" r:id="rId59" display="https://www.worldometers.info/gdp/uruguay-gdp/" xr:uid="{71A9139D-97A3-E34F-8015-F7BCCA756F8C}"/>
    <hyperlink ref="D61" r:id="rId60" display="https://www.worldometers.info/gdp/saint-kitts-and-nevis-gdp/" xr:uid="{2BF83090-9454-F74D-9CAC-B8BA4F640E31}"/>
    <hyperlink ref="D62" r:id="rId61" display="https://www.worldometers.info/gdp/chile-gdp/" xr:uid="{17E88B6E-FEE6-E24A-8028-754533B7126C}"/>
    <hyperlink ref="D63" r:id="rId62" display="https://www.worldometers.info/gdp/seychelles-gdp/" xr:uid="{82380BC5-FB5A-764B-9C59-CA4F1AAA2354}"/>
    <hyperlink ref="D64" r:id="rId63" display="https://www.worldometers.info/gdp/antigua-and-barbuda-gdp/" xr:uid="{B93BC6FB-38A8-0344-8E2E-99F07DCC40D6}"/>
    <hyperlink ref="D65" r:id="rId64" display="https://www.worldometers.info/gdp/montenegro-gdp/" xr:uid="{9CE4FA75-6B40-BC40-9337-286D8E00C981}"/>
    <hyperlink ref="D66" r:id="rId65" display="https://www.worldometers.info/gdp/belarus-gdp/" xr:uid="{847DBF3D-832B-5746-92DE-D0DD2DC75F90}"/>
    <hyperlink ref="D67" r:id="rId66" display="https://www.worldometers.info/gdp/argentina-gdp/" xr:uid="{D5563513-C87B-5342-850B-C8DE85059C34}"/>
    <hyperlink ref="D68" r:id="rId67" display="https://www.worldometers.info/gdp/mauritius-gdp/" xr:uid="{0FB41C01-723E-3B42-802E-9A0CB373682D}"/>
    <hyperlink ref="D69" r:id="rId68" display="https://www.worldometers.info/gdp/serbia-gdp/" xr:uid="{DB1E5639-8CC1-8147-9C3D-16426F2486AF}"/>
    <hyperlink ref="D70" r:id="rId69" display="https://www.worldometers.info/gdp/costa-rica-gdp/" xr:uid="{68341A45-AD19-1546-831B-34BE9AE57B8E}"/>
    <hyperlink ref="D71" r:id="rId70" display="https://www.worldometers.info/gdp/saint-lucia-gdp/" xr:uid="{0450ED49-D54A-3A48-AF55-EAC4A8231CC9}"/>
    <hyperlink ref="D72" r:id="rId71" display="https://www.worldometers.info/gdp/dominican-republic-gdp/" xr:uid="{28467592-E37B-7143-9388-547C14B7083E}"/>
    <hyperlink ref="D73" r:id="rId72" display="https://www.worldometers.info/gdp/georgia-gdp/" xr:uid="{0739E193-AEBD-BB45-AC6E-BC94411CCB06}"/>
    <hyperlink ref="D74" r:id="rId73" display="https://www.worldometers.info/gdp/mexico-gdp/" xr:uid="{2E32B2E4-0D84-D642-BCC2-F3AA13D9560B}"/>
    <hyperlink ref="D75" r:id="rId74" display="https://www.worldometers.info/gdp/maldives-gdp/" xr:uid="{E25EAB4E-5A91-3043-881C-9B0D618792F7}"/>
    <hyperlink ref="D76" r:id="rId75" display="https://www.worldometers.info/gdp/china-gdp/" xr:uid="{B05BE34F-2967-7D40-B3AF-117503DEC05F}"/>
    <hyperlink ref="D77" r:id="rId76" display="https://www.worldometers.info/gdp/north-macedonia-gdp/" xr:uid="{5699E813-DE76-6A4C-9436-7E52F921342B}"/>
    <hyperlink ref="D78" r:id="rId77" display="https://www.worldometers.info/gdp/azerbaijan-gdp/" xr:uid="{62448ED6-3595-4646-A93C-D762051DFE2C}"/>
    <hyperlink ref="D79" r:id="rId78" display="https://www.worldometers.info/gdp/thailand-gdp/" xr:uid="{E8D6E66B-58FB-0546-A717-CECC2C837F06}"/>
    <hyperlink ref="D80" r:id="rId79" display="https://www.worldometers.info/gdp/bosnia-and-herzegovina-gdp/" xr:uid="{914677BA-384C-374D-8561-DE5D143662C5}"/>
    <hyperlink ref="D81" r:id="rId80" display="https://www.worldometers.info/gdp/armenia-gdp/" xr:uid="{D3883E1C-449D-5D43-978F-2A20B2902D45}"/>
    <hyperlink ref="D82" r:id="rId81" display="https://www.worldometers.info/gdp/barbados-gdp/" xr:uid="{23381F9C-07FB-074A-9340-20C352C9A502}"/>
    <hyperlink ref="D83" r:id="rId82" display="https://www.worldometers.info/gdp/albania-gdp/" xr:uid="{033F1141-B839-5A49-A377-32A1E79B00C7}"/>
    <hyperlink ref="D84" r:id="rId83" display="https://www.worldometers.info/gdp/suriname-gdp/" xr:uid="{2047E39A-74A9-A04B-979A-7FB1A31E7AE7}"/>
    <hyperlink ref="D85" r:id="rId84" display="https://www.worldometers.info/gdp/brazil-gdp/" xr:uid="{C7D51342-C536-FC47-885C-20B94B551C48}"/>
    <hyperlink ref="D86" r:id="rId85" display="https://www.worldometers.info/gdp/botswana-gdp/" xr:uid="{48229E03-FE3F-AE45-AEEC-39F1E726DAAB}"/>
    <hyperlink ref="D87" r:id="rId86" display="https://www.worldometers.info/gdp/gabon-gdp/" xr:uid="{EEA22B34-D788-C94C-80AB-21DD9C29451F}"/>
    <hyperlink ref="D88" r:id="rId87" display="https://www.worldometers.info/gdp/colombia-gdp/" xr:uid="{B0FBA470-9949-B84E-A7FD-CA585DF9A777}"/>
    <hyperlink ref="D89" r:id="rId88" display="https://www.worldometers.info/gdp/saint-vincent-and-the-grenadines-gdp/" xr:uid="{A87C511E-7653-FA43-8E52-8EE5E9DF59C0}"/>
    <hyperlink ref="D90" r:id="rId89" display="https://www.worldometers.info/gdp/turkmenistan-gdp/" xr:uid="{8C3BD8C0-832A-EF44-95FF-4E98DB1557AA}"/>
    <hyperlink ref="D91" r:id="rId90" display="https://www.worldometers.info/gdp/dominica-gdp/" xr:uid="{5A20FFF8-B4C4-C54A-A739-562B03B995E6}"/>
    <hyperlink ref="D92" r:id="rId91" display="https://www.worldometers.info/gdp/grenada-gdp/" xr:uid="{79519E24-93BC-EE43-93C1-5853C4CBCB22}"/>
    <hyperlink ref="D93" r:id="rId92" display="https://www.worldometers.info/gdp/egypt-gdp/" xr:uid="{887B8716-A663-084C-BF55-E009D90106D0}"/>
    <hyperlink ref="D94" r:id="rId93" display="https://www.worldometers.info/gdp/mongolia-gdp/" xr:uid="{08FC1B5B-2F8E-8D46-B390-CDAE33F1F338}"/>
    <hyperlink ref="D95" r:id="rId94" display="https://www.worldometers.info/gdp/iran-gdp/" xr:uid="{AB5555BD-EB38-8E4E-9DF4-42E316F091B9}"/>
    <hyperlink ref="D96" r:id="rId95" display="https://www.worldometers.info/gdp/ukraine-gdp/" xr:uid="{AA2C3436-D9D3-964D-8E6B-9F47923FF0CE}"/>
    <hyperlink ref="D97" r:id="rId96" display="https://www.worldometers.info/gdp/moldova-gdp/" xr:uid="{8DF4A962-2AFA-9046-91FE-5EBC17B01F6E}"/>
    <hyperlink ref="D98" r:id="rId97" display="https://www.worldometers.info/gdp/palau-gdp/" xr:uid="{5835BAAC-A4E2-334B-9C2A-2C275B9B8053}"/>
    <hyperlink ref="D99" r:id="rId98" display="https://www.worldometers.info/gdp/paraguay-gdp/" xr:uid="{76C4D83F-9554-5440-996D-FDBB7320B080}"/>
    <hyperlink ref="D100" r:id="rId99" display="https://www.worldometers.info/gdp/equatorial-guinea-gdp/" xr:uid="{C4D18226-336F-324A-B3B1-E3B5AD3D31A6}"/>
    <hyperlink ref="D101" r:id="rId100" display="https://www.worldometers.info/gdp/peru-gdp/" xr:uid="{EC31A815-6C98-E241-A795-66EF2CB8C1B2}"/>
    <hyperlink ref="D102" r:id="rId101" display="https://www.worldometers.info/gdp/algeria-gdp/" xr:uid="{F43926C5-F8DA-1945-A04B-A43505809BCA}"/>
    <hyperlink ref="D103" r:id="rId102" display="https://www.worldometers.info/gdp/ecuador-gdp/" xr:uid="{60F3C448-34D3-E942-BB31-9FE55681DB3B}"/>
    <hyperlink ref="D104" r:id="rId103" display="https://www.worldometers.info/gdp/indonesia-gdp/" xr:uid="{29DE8BA5-F547-CF43-8C27-2DEE341E421B}"/>
    <hyperlink ref="D105" r:id="rId104" display="https://www.worldometers.info/gdp/south-africa-gdp/" xr:uid="{EC4F8000-0CD1-5646-B2A6-4C87F09704C5}"/>
    <hyperlink ref="D106" r:id="rId105" display="https://www.worldometers.info/gdp/fiji-gdp/" xr:uid="{4246C42A-6340-EB40-B1EC-8D4DF1C58B6E}"/>
    <hyperlink ref="D107" r:id="rId106" display="https://www.worldometers.info/gdp/vietnam-gdp/" xr:uid="{D682D055-6316-CD4A-A342-B7E669CC9B9E}"/>
    <hyperlink ref="D108" r:id="rId107" display="https://www.worldometers.info/gdp/sri-lanka-gdp/" xr:uid="{9159F486-288F-F94B-BA40-DD9E47379FF6}"/>
    <hyperlink ref="D109" r:id="rId108" display="https://www.worldometers.info/gdp/iraq-gdp/" xr:uid="{F0B40B76-909C-5B4B-A472-BDE97F2ED445}"/>
    <hyperlink ref="D110" r:id="rId109" display="https://www.worldometers.info/gdp/tunisia-gdp/" xr:uid="{078B09F1-F894-244E-8A74-9648B3F50D08}"/>
    <hyperlink ref="D111" r:id="rId110" display="https://www.worldometers.info/gdp/libya-gdp/" xr:uid="{CCE4044C-72DA-474A-9096-A1B2F96F50A1}"/>
    <hyperlink ref="D112" r:id="rId111" display="https://www.worldometers.info/gdp/belize-gdp/" xr:uid="{24A20939-AFC0-9C44-8414-FF1210AC88BF}"/>
    <hyperlink ref="D113" r:id="rId112" display="https://www.worldometers.info/gdp/guatemala-gdp/" xr:uid="{FEDADA30-8DB0-6F43-B472-2000B375619A}"/>
    <hyperlink ref="D114" r:id="rId113" display="https://www.worldometers.info/gdp/el-salvador-gdp/" xr:uid="{783261F4-0EC3-F547-8BF0-0C809BBD6BBE}"/>
    <hyperlink ref="D115" r:id="rId114" display="https://www.worldometers.info/gdp/jamaica-gdp/" xr:uid="{12A4E4AE-D0D9-E940-B1AC-2EB6B66969BF}"/>
    <hyperlink ref="D116" r:id="rId115" display="https://www.worldometers.info/gdp/swaziland-gdp/" xr:uid="{2AFFE3F9-A1C6-2B40-A448-A9CB3D429307}"/>
    <hyperlink ref="D117" r:id="rId116" display="https://www.worldometers.info/gdp/namibia-gdp/" xr:uid="{BC5BCF55-31DC-0D4F-A92D-3CB2BDAEF68D}"/>
    <hyperlink ref="D118" r:id="rId117" display="https://www.worldometers.info/gdp/uzbekistan-gdp/" xr:uid="{59C06364-FC7E-E046-A7A7-E35A5178B572}"/>
    <hyperlink ref="D119" r:id="rId118" display="https://www.worldometers.info/gdp/philippines-gdp/" xr:uid="{32B94A9C-4416-6545-AA5A-B1C1A1100E03}"/>
    <hyperlink ref="D120" r:id="rId119" display="https://www.worldometers.info/gdp/bolivia-gdp/" xr:uid="{0C929E05-53B0-5249-A8A8-4C6728A01FF5}"/>
    <hyperlink ref="D121" r:id="rId120" display="https://www.worldometers.info/gdp/jordan-gdp/" xr:uid="{28886FBD-30FB-6C48-8055-CD2D80829D17}"/>
    <hyperlink ref="D122" r:id="rId121" display="https://www.worldometers.info/gdp/cabo-verde-gdp/" xr:uid="{DE88E528-D531-5645-9ECF-8FB5CF099139}"/>
    <hyperlink ref="D123" r:id="rId122" display="https://www.worldometers.info/gdp/india-gdp/" xr:uid="{777F9763-81B0-B84D-B4EB-C42C3E448B7D}"/>
    <hyperlink ref="D124" r:id="rId123" display="https://www.worldometers.info/gdp/morocco-gdp/" xr:uid="{3662FC70-E8CA-AF44-8AB0-6B7B05E151CB}"/>
    <hyperlink ref="D125" r:id="rId124" display="https://www.worldometers.info/gdp/laos-gdp/" xr:uid="{D495E60E-8135-704E-B173-CF12149A083F}"/>
    <hyperlink ref="D126" r:id="rId125" display="https://www.worldometers.info/gdp/bangladesh-gdp/" xr:uid="{BE54E3A7-CA92-1545-B906-81B114944DBC}"/>
    <hyperlink ref="D127" r:id="rId126" display="https://www.worldometers.info/gdp/nicaragua-gdp/" xr:uid="{CAF1CF22-D9AA-7E4A-8DD0-336867D1CC98}"/>
    <hyperlink ref="D128" r:id="rId127" display="https://www.worldometers.info/gdp/angola-gdp/" xr:uid="{9052C07D-4BB9-C443-A898-688CE9F73A6C}"/>
    <hyperlink ref="D129" r:id="rId128" display="https://www.worldometers.info/gdp/ghana-gdp/" xr:uid="{C46D98E3-47DF-1C4B-B28A-692CEA200DB4}"/>
    <hyperlink ref="D130" r:id="rId129" display="https://www.worldometers.info/gdp/marshall-islands-gdp/" xr:uid="{AE902BED-C8A5-2F4C-9195-37E9F28E2AF7}"/>
    <hyperlink ref="D131" r:id="rId130" display="https://www.worldometers.info/gdp/cambodia-gdp/" xr:uid="{0E22463C-8302-1042-9706-9E7AE03C39B0}"/>
    <hyperlink ref="D132" r:id="rId131" display="https://www.worldometers.info/gdp/cote-d-ivoire-gdp/" xr:uid="{FD9F40AC-4591-3040-8315-FFC2183BC875}"/>
    <hyperlink ref="D133" r:id="rId132" display="https://www.worldometers.info/gdp/honduras-gdp/" xr:uid="{0570FE90-8EBB-2842-8530-35C876775F96}"/>
    <hyperlink ref="D134" r:id="rId133" display="https://www.worldometers.info/gdp/kyrgyzstan-gdp/" xr:uid="{6BDCD376-F395-B640-A54C-B6E7BB209283}"/>
    <hyperlink ref="D135" r:id="rId134" display="https://www.worldometers.info/gdp/samoa-gdp/" xr:uid="{B6BC3423-7F53-0849-A523-1F477F813AEC}"/>
    <hyperlink ref="D136" r:id="rId135" display="https://www.worldometers.info/gdp/mauritania-gdp/" xr:uid="{481A33E8-E71D-EB4D-919E-BE5A2482EE72}"/>
    <hyperlink ref="D137" r:id="rId136" display="https://www.worldometers.info/gdp/congo-gdp/" xr:uid="{66177D16-BF8E-E24E-B148-A35F2BAD1689}"/>
    <hyperlink ref="D138" r:id="rId137" display="https://www.worldometers.info/gdp/kenya-gdp/" xr:uid="{91E19A68-4139-7649-BEAF-06EE388E3046}"/>
    <hyperlink ref="D139" r:id="rId138" display="https://www.worldometers.info/gdp/nigeria-gdp/" xr:uid="{4AAB573F-10A4-4840-88C3-383DA1730D35}"/>
    <hyperlink ref="D140" r:id="rId139" display="https://www.worldometers.info/gdp/tuvalu-gdp/" xr:uid="{1271E9E6-84DF-1B45-9D8D-B0012693D04A}"/>
    <hyperlink ref="D141" r:id="rId140" display="https://www.worldometers.info/gdp/sao-tome-and-principe-gdp/" xr:uid="{A8B890BC-48CC-F44A-B1F8-362915576943}"/>
    <hyperlink ref="D142" r:id="rId141" display="https://www.worldometers.info/gdp/pakistan-gdp/" xr:uid="{69B70D76-5DC9-674A-B765-77D347FFE9F0}"/>
    <hyperlink ref="D143" r:id="rId142" display="https://www.worldometers.info/gdp/myanmar-gdp/" xr:uid="{755CCF8C-FEE9-2F45-A6C4-6472951E2E1A}"/>
    <hyperlink ref="D144" r:id="rId143" display="https://www.worldometers.info/gdp/state-of-palestine-gdp/" xr:uid="{5C7D88EC-F806-0344-A11A-35318B3B64F5}"/>
    <hyperlink ref="D145" r:id="rId144" display="https://www.worldometers.info/gdp/cameroon-gdp/" xr:uid="{8741FE32-384B-E040-97BF-5E238B127B20}"/>
    <hyperlink ref="D146" r:id="rId145" display="https://www.worldometers.info/gdp/nepal-gdp/" xr:uid="{3FF6590F-FB92-6C4E-BBAA-B859E302F6E7}"/>
    <hyperlink ref="D147" r:id="rId146" display="https://www.worldometers.info/gdp/tajikistan-gdp/" xr:uid="{D9EFCA75-74F1-B245-B677-52B8E6CFC0AA}"/>
    <hyperlink ref="D148" r:id="rId147" display="https://www.worldometers.info/gdp/timor-leste-gdp/" xr:uid="{BAF47D08-5D8B-A740-98FC-DE4C739131EA}"/>
    <hyperlink ref="D149" r:id="rId148" display="https://www.worldometers.info/gdp/senegal-gdp/" xr:uid="{80F23411-08A9-D54C-985F-19E50E3C2699}"/>
    <hyperlink ref="D150" r:id="rId149" display="https://www.worldometers.info/gdp/papua-new-guinea-gdp/" xr:uid="{CBE17A9A-8326-484E-B78F-A9F0ED13D72D}"/>
    <hyperlink ref="D151" r:id="rId150" display="https://www.worldometers.info/gdp/guinea-gdp/" xr:uid="{10F734CD-04B8-E542-AF94-3CFA56E0AF4C}"/>
    <hyperlink ref="D152" r:id="rId151" display="https://www.worldometers.info/gdp/micronesia-gdp/" xr:uid="{A16691C2-55CE-5049-80E3-70D91CF63DA3}"/>
    <hyperlink ref="D153" r:id="rId152" display="https://www.worldometers.info/gdp/benin-gdp/" xr:uid="{59DCC4E4-D2DF-DA49-AB1B-12BDA9A7F1D8}"/>
    <hyperlink ref="D154" r:id="rId153" display="https://www.worldometers.info/gdp/zambia-gdp/" xr:uid="{2B811E68-21A8-D543-B518-B4872C287F22}"/>
    <hyperlink ref="D155" r:id="rId154" display="https://www.worldometers.info/gdp/tanzania-gdp/" xr:uid="{22E8FDE3-28AC-C647-BC67-7EB281091461}"/>
    <hyperlink ref="D156" r:id="rId155" display="https://www.worldometers.info/gdp/comoros-gdp/" xr:uid="{5B8D0B44-3607-2C44-A7C1-488D32C77A4D}"/>
    <hyperlink ref="D157" r:id="rId156" display="https://www.worldometers.info/gdp/zimbabwe-gdp/" xr:uid="{8FA54CD9-B8CF-5D43-995D-48793954CFEF}"/>
    <hyperlink ref="D158" r:id="rId157" display="https://www.worldometers.info/gdp/kiribati-gdp/" xr:uid="{1676F799-16EA-4F4E-B579-5F6C7D58C778}"/>
    <hyperlink ref="D159" r:id="rId158" display="https://www.worldometers.info/gdp/vanuatu-gdp/" xr:uid="{53D98BC7-47BA-7246-B505-D3342189B0E4}"/>
    <hyperlink ref="D160" r:id="rId159" display="https://www.worldometers.info/gdp/rwanda-gdp/" xr:uid="{5994CAFD-B9AC-4849-B944-D7972ECA8E49}"/>
    <hyperlink ref="D161" r:id="rId160" display="https://www.worldometers.info/gdp/sierra-leone-gdp/" xr:uid="{71B45D3F-9731-0E42-884B-432EE8CEA54B}"/>
    <hyperlink ref="D162" r:id="rId161" display="https://www.worldometers.info/gdp/haiti-gdp/" xr:uid="{C01CAD71-EFAD-C243-8803-3992BFA011DC}"/>
    <hyperlink ref="D163" r:id="rId162" display="https://www.worldometers.info/gdp/gambia-gdp/" xr:uid="{533ECF01-6FAB-134D-B9E9-3F487E279F7A}"/>
    <hyperlink ref="D164" r:id="rId163" display="https://www.worldometers.info/gdp/uganda-gdp/" xr:uid="{3521C370-3FC8-6545-8BA6-1FE2DA2E99D4}"/>
    <hyperlink ref="D165" r:id="rId164" display="https://www.worldometers.info/gdp/togo-gdp/" xr:uid="{CC324F79-1C29-684F-BE0E-5D70D7CB3E05}"/>
    <hyperlink ref="D166" r:id="rId165" display="https://www.worldometers.info/gdp/ethiopia-gdp/" xr:uid="{662A5498-429A-1C47-A7BA-D4D4639CC49E}"/>
    <hyperlink ref="D167" r:id="rId166" display="https://www.worldometers.info/gdp/lesotho-gdp/" xr:uid="{D67FDE3F-FC37-7E4B-8925-CC0A13B40E66}"/>
    <hyperlink ref="D168" r:id="rId167" display="https://www.worldometers.info/gdp/guinea-bissau-gdp/" xr:uid="{A1AED554-D00A-1E43-A8C7-32123FD4DEB4}"/>
    <hyperlink ref="D169" r:id="rId168" display="https://www.worldometers.info/gdp/solomon-islands-gdp/" xr:uid="{58F97A73-7762-2C4D-BD07-E529DD59AA3B}"/>
    <hyperlink ref="D170" r:id="rId169" display="https://www.worldometers.info/gdp/burkina-faso-gdp/" xr:uid="{440A09EC-F2F3-F74A-B5D7-81C914B9689C}"/>
    <hyperlink ref="D171" r:id="rId170" display="https://www.worldometers.info/gdp/sudan-gdp/" xr:uid="{68150F2D-FB2C-F04B-B518-7CCE7A9CC159}"/>
    <hyperlink ref="D172" r:id="rId171" display="https://www.worldometers.info/gdp/mali-gdp/" xr:uid="{7F023C7E-C2C8-A740-B182-AAB16B6CEB5F}"/>
    <hyperlink ref="D173" r:id="rId172" display="https://www.worldometers.info/gdp/afghanistan-gdp/" xr:uid="{D5B9843F-230B-B042-8009-6F01745F2DC7}"/>
    <hyperlink ref="D174" r:id="rId173" display="https://www.worldometers.info/gdp/niger-gdp/" xr:uid="{308559CA-73C1-E542-BA62-787ECA43A28C}"/>
    <hyperlink ref="D175" r:id="rId174" display="https://www.worldometers.info/gdp/chad-gdp/" xr:uid="{5988748A-CF7E-FF40-9B5D-4B04FA996748}"/>
    <hyperlink ref="D176" r:id="rId175" display="https://www.worldometers.info/gdp/malawi-gdp/" xr:uid="{0911943C-8F6A-9845-BFB0-E678C9B78A16}"/>
    <hyperlink ref="D177" r:id="rId176" display="https://www.worldometers.info/gdp/madagascar-gdp/" xr:uid="{078ABA40-E6B0-7246-91B0-33B77B5361EE}"/>
    <hyperlink ref="D178" r:id="rId177" display="https://www.worldometers.info/gdp/liberia-gdp/" xr:uid="{DF20CE3C-70F5-D245-A20A-399BAD707440}"/>
    <hyperlink ref="D179" r:id="rId178" display="https://www.worldometers.info/gdp/mozambique-gdp/" xr:uid="{1CF256F8-77B5-2B41-92DA-4D639227DFD8}"/>
    <hyperlink ref="D180" r:id="rId179" display="https://www.worldometers.info/gdp/democratic-republic-of-the-congo-gdp/" xr:uid="{29853ED3-9CEC-3D4B-A4D0-0B7AFB6E948E}"/>
    <hyperlink ref="D181" r:id="rId180" display="https://www.worldometers.info/gdp/central-african-republic-gdp/" xr:uid="{0C24E346-E462-764B-BD8E-FBDA9637D23C}"/>
    <hyperlink ref="D182" r:id="rId181" display="https://www.worldometers.info/gdp/burundi-gdp/" xr:uid="{894C3599-69B7-E644-9873-0B286AA528AE}"/>
  </hyperlink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672F4-DA3A-C441-AE7D-771D73CE97F0}">
  <dimension ref="A1:F196"/>
  <sheetViews>
    <sheetView tabSelected="1" workbookViewId="0">
      <pane ySplit="1" topLeftCell="A2" activePane="bottomLeft" state="frozen"/>
      <selection pane="bottomLeft" activeCell="H111" sqref="H111"/>
    </sheetView>
  </sheetViews>
  <sheetFormatPr baseColWidth="10" defaultRowHeight="37" x14ac:dyDescent="0.2"/>
  <cols>
    <col min="1" max="1" width="4.1640625" style="12" bestFit="1" customWidth="1"/>
    <col min="2" max="2" width="23.5" style="12" bestFit="1" customWidth="1"/>
    <col min="3" max="3" width="15.5" style="12" bestFit="1" customWidth="1"/>
    <col min="4" max="4" width="10.6640625" style="4" bestFit="1" customWidth="1"/>
    <col min="5" max="5" width="21.1640625" style="12" bestFit="1" customWidth="1"/>
    <col min="6" max="6" width="25.1640625" style="12" bestFit="1" customWidth="1"/>
  </cols>
  <sheetData>
    <row r="1" spans="1:6" ht="16" x14ac:dyDescent="0.2">
      <c r="A1" s="34" t="s">
        <v>0</v>
      </c>
      <c r="B1" s="34" t="s">
        <v>1344</v>
      </c>
      <c r="C1" s="34" t="s">
        <v>1343</v>
      </c>
      <c r="D1" s="3" t="s">
        <v>1331</v>
      </c>
      <c r="E1" s="34" t="s">
        <v>1</v>
      </c>
      <c r="F1" s="34" t="s">
        <v>1342</v>
      </c>
    </row>
    <row r="2" spans="1:6" ht="35" x14ac:dyDescent="0.2">
      <c r="A2" s="35">
        <v>1</v>
      </c>
      <c r="B2" s="35" t="s">
        <v>607</v>
      </c>
      <c r="C2" s="35" t="s">
        <v>624</v>
      </c>
      <c r="D2" s="1" t="s">
        <v>495</v>
      </c>
      <c r="E2" s="35" t="s">
        <v>4</v>
      </c>
      <c r="F2" s="36">
        <v>63171</v>
      </c>
    </row>
    <row r="3" spans="1:6" ht="35" x14ac:dyDescent="0.2">
      <c r="A3" s="35">
        <v>2</v>
      </c>
      <c r="B3" s="35" t="s">
        <v>608</v>
      </c>
      <c r="C3" s="35" t="s">
        <v>624</v>
      </c>
      <c r="D3" s="1" t="s">
        <v>496</v>
      </c>
      <c r="E3" s="35" t="s">
        <v>5</v>
      </c>
      <c r="F3" s="36">
        <v>23845</v>
      </c>
    </row>
    <row r="4" spans="1:6" ht="35" x14ac:dyDescent="0.2">
      <c r="A4" s="35">
        <v>3</v>
      </c>
      <c r="B4" s="35" t="s">
        <v>602</v>
      </c>
      <c r="C4" s="35" t="s">
        <v>627</v>
      </c>
      <c r="D4" s="1" t="s">
        <v>500</v>
      </c>
      <c r="E4" s="35" t="s">
        <v>9</v>
      </c>
      <c r="F4" s="36">
        <v>20919</v>
      </c>
    </row>
    <row r="5" spans="1:6" ht="35" x14ac:dyDescent="0.2">
      <c r="A5" s="35">
        <v>4</v>
      </c>
      <c r="B5" s="35" t="s">
        <v>607</v>
      </c>
      <c r="C5" s="35" t="s">
        <v>624</v>
      </c>
      <c r="D5" s="1" t="s">
        <v>499</v>
      </c>
      <c r="E5" s="35" t="s">
        <v>8</v>
      </c>
      <c r="F5" s="36">
        <v>18917</v>
      </c>
    </row>
    <row r="6" spans="1:6" ht="35" x14ac:dyDescent="0.2">
      <c r="A6" s="35">
        <v>5</v>
      </c>
      <c r="B6" s="35" t="s">
        <v>605</v>
      </c>
      <c r="C6" s="35" t="s">
        <v>627</v>
      </c>
      <c r="D6" s="1" t="s">
        <v>509</v>
      </c>
      <c r="E6" s="35" t="s">
        <v>18</v>
      </c>
      <c r="F6" s="36">
        <v>12484</v>
      </c>
    </row>
    <row r="7" spans="1:6" ht="35" x14ac:dyDescent="0.2">
      <c r="A7" s="35">
        <v>6</v>
      </c>
      <c r="B7" s="35" t="s">
        <v>609</v>
      </c>
      <c r="C7" s="35" t="s">
        <v>624</v>
      </c>
      <c r="D7" s="1" t="s">
        <v>498</v>
      </c>
      <c r="E7" s="35" t="s">
        <v>7</v>
      </c>
      <c r="F7" s="36">
        <v>12158</v>
      </c>
    </row>
    <row r="8" spans="1:6" ht="35" x14ac:dyDescent="0.2">
      <c r="A8" s="35">
        <v>7</v>
      </c>
      <c r="B8" s="35" t="s">
        <v>603</v>
      </c>
      <c r="C8" s="35" t="s">
        <v>627</v>
      </c>
      <c r="D8" s="1" t="s">
        <v>504</v>
      </c>
      <c r="E8" s="35" t="s">
        <v>13</v>
      </c>
      <c r="F8" s="36">
        <v>11435</v>
      </c>
    </row>
    <row r="9" spans="1:6" ht="35" x14ac:dyDescent="0.2">
      <c r="A9" s="35">
        <v>8</v>
      </c>
      <c r="B9" s="35" t="s">
        <v>623</v>
      </c>
      <c r="C9" s="35" t="s">
        <v>623</v>
      </c>
      <c r="D9" s="1" t="s">
        <v>497</v>
      </c>
      <c r="E9" s="35" t="s">
        <v>6</v>
      </c>
      <c r="F9" s="36">
        <v>10031</v>
      </c>
    </row>
    <row r="10" spans="1:6" ht="35" x14ac:dyDescent="0.2">
      <c r="A10" s="35">
        <v>9</v>
      </c>
      <c r="B10" s="35" t="s">
        <v>607</v>
      </c>
      <c r="C10" s="35" t="s">
        <v>624</v>
      </c>
      <c r="D10" s="1" t="s">
        <v>502</v>
      </c>
      <c r="E10" s="35" t="s">
        <v>11</v>
      </c>
      <c r="F10" s="36">
        <v>9422</v>
      </c>
    </row>
    <row r="11" spans="1:6" ht="35" x14ac:dyDescent="0.2">
      <c r="A11" s="35">
        <v>10</v>
      </c>
      <c r="B11" s="35" t="s">
        <v>617</v>
      </c>
      <c r="C11" s="35" t="s">
        <v>617</v>
      </c>
      <c r="D11" s="1" t="s">
        <v>501</v>
      </c>
      <c r="E11" s="35" t="s">
        <v>10</v>
      </c>
      <c r="F11" s="36">
        <v>6923</v>
      </c>
    </row>
    <row r="12" spans="1:6" ht="35" x14ac:dyDescent="0.2">
      <c r="A12" s="35">
        <v>11</v>
      </c>
      <c r="B12" s="35" t="s">
        <v>604</v>
      </c>
      <c r="C12" s="35" t="s">
        <v>627</v>
      </c>
      <c r="D12" s="1" t="s">
        <v>507</v>
      </c>
      <c r="E12" s="35" t="s">
        <v>16</v>
      </c>
      <c r="F12" s="36">
        <v>6708</v>
      </c>
    </row>
    <row r="13" spans="1:6" ht="35" x14ac:dyDescent="0.2">
      <c r="A13" s="35">
        <v>12</v>
      </c>
      <c r="B13" s="35" t="s">
        <v>603</v>
      </c>
      <c r="C13" s="35" t="s">
        <v>627</v>
      </c>
      <c r="D13" s="1" t="s">
        <v>515</v>
      </c>
      <c r="E13" s="35" t="s">
        <v>24</v>
      </c>
      <c r="F13" s="36">
        <v>6624</v>
      </c>
    </row>
    <row r="14" spans="1:6" ht="35" x14ac:dyDescent="0.2">
      <c r="A14" s="35">
        <v>13</v>
      </c>
      <c r="B14" s="35" t="s">
        <v>618</v>
      </c>
      <c r="C14" s="35" t="s">
        <v>623</v>
      </c>
      <c r="D14" s="1" t="s">
        <v>505</v>
      </c>
      <c r="E14" s="35" t="s">
        <v>14</v>
      </c>
      <c r="F14" s="36">
        <v>5486</v>
      </c>
    </row>
    <row r="15" spans="1:6" ht="35" x14ac:dyDescent="0.2">
      <c r="A15" s="35">
        <v>14</v>
      </c>
      <c r="B15" s="35" t="s">
        <v>609</v>
      </c>
      <c r="C15" s="35" t="s">
        <v>624</v>
      </c>
      <c r="D15" s="1" t="s">
        <v>508</v>
      </c>
      <c r="E15" s="35" t="s">
        <v>17</v>
      </c>
      <c r="F15" s="36">
        <v>5042</v>
      </c>
    </row>
    <row r="16" spans="1:6" ht="35" x14ac:dyDescent="0.2">
      <c r="A16" s="35">
        <v>15</v>
      </c>
      <c r="B16" s="35" t="s">
        <v>603</v>
      </c>
      <c r="C16" s="35" t="s">
        <v>627</v>
      </c>
      <c r="D16" s="1" t="s">
        <v>527</v>
      </c>
      <c r="E16" s="35" t="s">
        <v>34</v>
      </c>
      <c r="F16" s="36">
        <v>4692</v>
      </c>
    </row>
    <row r="17" spans="1:6" ht="35" x14ac:dyDescent="0.2">
      <c r="A17" s="35">
        <v>16</v>
      </c>
      <c r="B17" s="35" t="s">
        <v>604</v>
      </c>
      <c r="C17" s="35" t="s">
        <v>627</v>
      </c>
      <c r="D17" s="1" t="s">
        <v>526</v>
      </c>
      <c r="E17" s="35" t="s">
        <v>33</v>
      </c>
      <c r="F17" s="36">
        <v>4608</v>
      </c>
    </row>
    <row r="18" spans="1:6" ht="35" x14ac:dyDescent="0.2">
      <c r="A18" s="35">
        <v>17</v>
      </c>
      <c r="B18" s="35" t="s">
        <v>603</v>
      </c>
      <c r="C18" s="35" t="s">
        <v>627</v>
      </c>
      <c r="D18" s="1" t="s">
        <v>522</v>
      </c>
      <c r="E18" s="35" t="s">
        <v>29</v>
      </c>
      <c r="F18" s="36">
        <v>4110</v>
      </c>
    </row>
    <row r="19" spans="1:6" ht="35" x14ac:dyDescent="0.2">
      <c r="A19" s="35">
        <v>18</v>
      </c>
      <c r="B19" s="35" t="s">
        <v>607</v>
      </c>
      <c r="C19" s="35" t="s">
        <v>624</v>
      </c>
      <c r="D19" s="1" t="s">
        <v>532</v>
      </c>
      <c r="E19" s="35" t="s">
        <v>39</v>
      </c>
      <c r="F19" s="36">
        <v>4026</v>
      </c>
    </row>
    <row r="20" spans="1:6" ht="35" x14ac:dyDescent="0.2">
      <c r="A20" s="35">
        <v>19</v>
      </c>
      <c r="B20" s="35" t="s">
        <v>609</v>
      </c>
      <c r="C20" s="35" t="s">
        <v>624</v>
      </c>
      <c r="D20" s="1" t="s">
        <v>510</v>
      </c>
      <c r="E20" s="35" t="s">
        <v>19</v>
      </c>
      <c r="F20" s="36">
        <v>3803</v>
      </c>
    </row>
    <row r="21" spans="1:6" ht="35" x14ac:dyDescent="0.2">
      <c r="A21" s="35">
        <v>20</v>
      </c>
      <c r="B21" s="35" t="s">
        <v>610</v>
      </c>
      <c r="C21" s="35" t="s">
        <v>624</v>
      </c>
      <c r="D21" s="1" t="s">
        <v>533</v>
      </c>
      <c r="E21" s="35" t="s">
        <v>40</v>
      </c>
      <c r="F21" s="36">
        <v>3799</v>
      </c>
    </row>
    <row r="22" spans="1:6" ht="35" x14ac:dyDescent="0.2">
      <c r="A22" s="35">
        <v>21</v>
      </c>
      <c r="B22" s="35" t="s">
        <v>605</v>
      </c>
      <c r="C22" s="35" t="s">
        <v>627</v>
      </c>
      <c r="D22" s="1" t="s">
        <v>535</v>
      </c>
      <c r="E22" s="35" t="s">
        <v>42</v>
      </c>
      <c r="F22" s="36">
        <v>3785</v>
      </c>
    </row>
    <row r="23" spans="1:6" ht="35" x14ac:dyDescent="0.2">
      <c r="A23" s="35">
        <v>22</v>
      </c>
      <c r="B23" s="35" t="s">
        <v>613</v>
      </c>
      <c r="C23" s="35" t="s">
        <v>626</v>
      </c>
      <c r="D23" s="1" t="s">
        <v>503</v>
      </c>
      <c r="E23" s="35" t="s">
        <v>984</v>
      </c>
      <c r="F23" s="36">
        <v>3556</v>
      </c>
    </row>
    <row r="24" spans="1:6" ht="35" x14ac:dyDescent="0.2">
      <c r="A24" s="35">
        <v>23</v>
      </c>
      <c r="B24" s="35" t="s">
        <v>603</v>
      </c>
      <c r="C24" s="35" t="s">
        <v>627</v>
      </c>
      <c r="D24" s="1" t="s">
        <v>548</v>
      </c>
      <c r="E24" s="35" t="s">
        <v>48</v>
      </c>
      <c r="F24" s="36">
        <v>3455</v>
      </c>
    </row>
    <row r="25" spans="1:6" ht="35" x14ac:dyDescent="0.2">
      <c r="A25" s="35">
        <v>24</v>
      </c>
      <c r="B25" s="35" t="s">
        <v>606</v>
      </c>
      <c r="C25" s="35" t="s">
        <v>627</v>
      </c>
      <c r="D25" s="1" t="s">
        <v>520</v>
      </c>
      <c r="E25" s="35" t="s">
        <v>27</v>
      </c>
      <c r="F25" s="36">
        <v>3251</v>
      </c>
    </row>
    <row r="26" spans="1:6" ht="35" x14ac:dyDescent="0.2">
      <c r="A26" s="35">
        <v>25</v>
      </c>
      <c r="B26" s="35" t="s">
        <v>607</v>
      </c>
      <c r="C26" s="35" t="s">
        <v>624</v>
      </c>
      <c r="D26" s="1" t="s">
        <v>511</v>
      </c>
      <c r="E26" s="35" t="s">
        <v>20</v>
      </c>
      <c r="F26" s="36">
        <v>3211</v>
      </c>
    </row>
    <row r="27" spans="1:6" ht="35" x14ac:dyDescent="0.2">
      <c r="A27" s="35">
        <v>26</v>
      </c>
      <c r="B27" s="35" t="s">
        <v>610</v>
      </c>
      <c r="C27" s="35" t="s">
        <v>624</v>
      </c>
      <c r="D27" s="1" t="s">
        <v>530</v>
      </c>
      <c r="E27" s="35" t="s">
        <v>37</v>
      </c>
      <c r="F27" s="36">
        <v>3178</v>
      </c>
    </row>
    <row r="28" spans="1:6" ht="35" x14ac:dyDescent="0.2">
      <c r="A28" s="35">
        <v>27</v>
      </c>
      <c r="B28" s="35" t="s">
        <v>602</v>
      </c>
      <c r="C28" s="35" t="s">
        <v>627</v>
      </c>
      <c r="D28" s="1" t="s">
        <v>556</v>
      </c>
      <c r="E28" s="35" t="s">
        <v>57</v>
      </c>
      <c r="F28" s="36">
        <v>3002</v>
      </c>
    </row>
    <row r="29" spans="1:6" ht="35" x14ac:dyDescent="0.2">
      <c r="A29" s="35">
        <v>28</v>
      </c>
      <c r="B29" s="35" t="s">
        <v>610</v>
      </c>
      <c r="C29" s="35" t="s">
        <v>624</v>
      </c>
      <c r="D29" s="1" t="s">
        <v>512</v>
      </c>
      <c r="E29" s="35" t="s">
        <v>21</v>
      </c>
      <c r="F29" s="36">
        <v>2937</v>
      </c>
    </row>
    <row r="30" spans="1:6" ht="35" x14ac:dyDescent="0.2">
      <c r="A30" s="35">
        <v>29</v>
      </c>
      <c r="B30" s="35" t="s">
        <v>603</v>
      </c>
      <c r="C30" s="35" t="s">
        <v>627</v>
      </c>
      <c r="D30" s="1" t="s">
        <v>542</v>
      </c>
      <c r="E30" s="35" t="s">
        <v>52</v>
      </c>
      <c r="F30" s="36">
        <v>2743</v>
      </c>
    </row>
    <row r="31" spans="1:6" ht="35" x14ac:dyDescent="0.2">
      <c r="A31" s="35">
        <v>30</v>
      </c>
      <c r="B31" s="35" t="s">
        <v>602</v>
      </c>
      <c r="C31" s="35" t="s">
        <v>627</v>
      </c>
      <c r="D31" s="1" t="s">
        <v>552</v>
      </c>
      <c r="E31" s="35" t="s">
        <v>53</v>
      </c>
      <c r="F31" s="36">
        <v>2731</v>
      </c>
    </row>
    <row r="32" spans="1:6" ht="35" x14ac:dyDescent="0.2">
      <c r="A32" s="35">
        <v>31</v>
      </c>
      <c r="B32" s="35" t="s">
        <v>605</v>
      </c>
      <c r="C32" s="35" t="s">
        <v>627</v>
      </c>
      <c r="D32" s="1" t="s">
        <v>553</v>
      </c>
      <c r="E32" s="35" t="s">
        <v>54</v>
      </c>
      <c r="F32" s="36">
        <v>2623</v>
      </c>
    </row>
    <row r="33" spans="1:6" ht="35" x14ac:dyDescent="0.2">
      <c r="A33" s="35">
        <v>32</v>
      </c>
      <c r="B33" s="35" t="s">
        <v>602</v>
      </c>
      <c r="C33" s="35" t="s">
        <v>627</v>
      </c>
      <c r="D33" s="1" t="s">
        <v>543</v>
      </c>
      <c r="E33" s="35" t="s">
        <v>61</v>
      </c>
      <c r="F33" s="36">
        <v>2607</v>
      </c>
    </row>
    <row r="34" spans="1:6" ht="35" x14ac:dyDescent="0.2">
      <c r="A34" s="35">
        <v>33</v>
      </c>
      <c r="B34" s="35" t="s">
        <v>611</v>
      </c>
      <c r="C34" s="35" t="s">
        <v>624</v>
      </c>
      <c r="D34" s="1" t="s">
        <v>539</v>
      </c>
      <c r="E34" s="35" t="s">
        <v>46</v>
      </c>
      <c r="F34" s="36">
        <v>2585</v>
      </c>
    </row>
    <row r="35" spans="1:6" ht="35" x14ac:dyDescent="0.2">
      <c r="A35" s="35">
        <v>34</v>
      </c>
      <c r="B35" s="35" t="s">
        <v>604</v>
      </c>
      <c r="C35" s="35" t="s">
        <v>627</v>
      </c>
      <c r="D35" s="1" t="s">
        <v>529</v>
      </c>
      <c r="E35" s="35" t="s">
        <v>36</v>
      </c>
      <c r="F35" s="36">
        <v>2482</v>
      </c>
    </row>
    <row r="36" spans="1:6" ht="35" x14ac:dyDescent="0.2">
      <c r="A36" s="35">
        <v>35</v>
      </c>
      <c r="B36" s="35" t="s">
        <v>609</v>
      </c>
      <c r="C36" s="35" t="s">
        <v>624</v>
      </c>
      <c r="D36" s="1" t="s">
        <v>505</v>
      </c>
      <c r="E36" s="35" t="s">
        <v>30</v>
      </c>
      <c r="F36" s="36">
        <v>2476</v>
      </c>
    </row>
    <row r="37" spans="1:6" ht="35" x14ac:dyDescent="0.2">
      <c r="A37" s="35">
        <v>36</v>
      </c>
      <c r="B37" s="35" t="s">
        <v>602</v>
      </c>
      <c r="C37" s="35" t="s">
        <v>627</v>
      </c>
      <c r="D37" s="1" t="s">
        <v>549</v>
      </c>
      <c r="E37" s="35" t="s">
        <v>49</v>
      </c>
      <c r="F37" s="36">
        <v>2435</v>
      </c>
    </row>
    <row r="38" spans="1:6" ht="35" x14ac:dyDescent="0.2">
      <c r="A38" s="35">
        <v>37</v>
      </c>
      <c r="B38" s="35" t="s">
        <v>605</v>
      </c>
      <c r="C38" s="35" t="s">
        <v>627</v>
      </c>
      <c r="D38" s="1" t="s">
        <v>562</v>
      </c>
      <c r="E38" s="35" t="s">
        <v>66</v>
      </c>
      <c r="F38" s="36">
        <v>2242</v>
      </c>
    </row>
    <row r="39" spans="1:6" ht="35" x14ac:dyDescent="0.2">
      <c r="A39" s="35">
        <v>38</v>
      </c>
      <c r="B39" s="35" t="s">
        <v>603</v>
      </c>
      <c r="C39" s="35" t="s">
        <v>627</v>
      </c>
      <c r="D39" s="1" t="s">
        <v>565</v>
      </c>
      <c r="E39" s="35" t="s">
        <v>69</v>
      </c>
      <c r="F39" s="36">
        <v>2161</v>
      </c>
    </row>
    <row r="40" spans="1:6" ht="35" x14ac:dyDescent="0.2">
      <c r="A40" s="35">
        <v>39</v>
      </c>
      <c r="B40" s="35" t="s">
        <v>608</v>
      </c>
      <c r="C40" s="35" t="s">
        <v>624</v>
      </c>
      <c r="D40" s="1" t="s">
        <v>506</v>
      </c>
      <c r="E40" s="35" t="s">
        <v>15</v>
      </c>
      <c r="F40" s="36">
        <v>2054</v>
      </c>
    </row>
    <row r="41" spans="1:6" ht="35" x14ac:dyDescent="0.2">
      <c r="A41" s="35">
        <v>40</v>
      </c>
      <c r="B41" s="35" t="s">
        <v>602</v>
      </c>
      <c r="C41" s="35" t="s">
        <v>627</v>
      </c>
      <c r="D41" s="1" t="s">
        <v>559</v>
      </c>
      <c r="E41" s="35" t="s">
        <v>62</v>
      </c>
      <c r="F41" s="36">
        <v>1997</v>
      </c>
    </row>
    <row r="42" spans="1:6" ht="35" x14ac:dyDescent="0.2">
      <c r="A42" s="35">
        <v>41</v>
      </c>
      <c r="B42" s="35" t="s">
        <v>614</v>
      </c>
      <c r="C42" s="35" t="s">
        <v>626</v>
      </c>
      <c r="D42" s="1" t="s">
        <v>513</v>
      </c>
      <c r="E42" s="35" t="s">
        <v>22</v>
      </c>
      <c r="F42" s="36">
        <v>1970</v>
      </c>
    </row>
    <row r="43" spans="1:6" ht="35" x14ac:dyDescent="0.2">
      <c r="A43" s="35">
        <v>42</v>
      </c>
      <c r="B43" s="35" t="s">
        <v>617</v>
      </c>
      <c r="C43" s="35" t="s">
        <v>617</v>
      </c>
      <c r="D43" s="1" t="s">
        <v>523</v>
      </c>
      <c r="E43" s="35" t="s">
        <v>31</v>
      </c>
      <c r="F43" s="36">
        <v>1932</v>
      </c>
    </row>
    <row r="44" spans="1:6" ht="35" x14ac:dyDescent="0.2">
      <c r="A44" s="35">
        <v>43</v>
      </c>
      <c r="B44" s="35" t="s">
        <v>615</v>
      </c>
      <c r="C44" s="35" t="s">
        <v>626</v>
      </c>
      <c r="D44" s="1" t="s">
        <v>516</v>
      </c>
      <c r="E44" s="35" t="s">
        <v>25</v>
      </c>
      <c r="F44" s="36">
        <v>1887</v>
      </c>
    </row>
    <row r="45" spans="1:6" ht="35" x14ac:dyDescent="0.2">
      <c r="A45" s="35">
        <v>44</v>
      </c>
      <c r="B45" s="35" t="s">
        <v>603</v>
      </c>
      <c r="C45" s="35" t="s">
        <v>627</v>
      </c>
      <c r="D45" s="1" t="s">
        <v>561</v>
      </c>
      <c r="E45" s="35" t="s">
        <v>65</v>
      </c>
      <c r="F45" s="36">
        <v>1878</v>
      </c>
    </row>
    <row r="46" spans="1:6" ht="35" x14ac:dyDescent="0.2">
      <c r="A46" s="35">
        <v>45</v>
      </c>
      <c r="B46" s="35" t="s">
        <v>603</v>
      </c>
      <c r="C46" s="35" t="s">
        <v>627</v>
      </c>
      <c r="D46" s="1" t="s">
        <v>541</v>
      </c>
      <c r="E46" s="35" t="s">
        <v>64</v>
      </c>
      <c r="F46" s="36">
        <v>1814</v>
      </c>
    </row>
    <row r="47" spans="1:6" ht="35" x14ac:dyDescent="0.2">
      <c r="A47" s="35">
        <v>46</v>
      </c>
      <c r="B47" s="35" t="s">
        <v>614</v>
      </c>
      <c r="C47" s="35" t="s">
        <v>626</v>
      </c>
      <c r="D47" s="1" t="s">
        <v>519</v>
      </c>
      <c r="E47" s="35" t="s">
        <v>26</v>
      </c>
      <c r="F47" s="36">
        <v>1750</v>
      </c>
    </row>
    <row r="48" spans="1:6" ht="35" x14ac:dyDescent="0.2">
      <c r="A48" s="35">
        <v>47</v>
      </c>
      <c r="B48" s="35" t="s">
        <v>604</v>
      </c>
      <c r="C48" s="35" t="s">
        <v>627</v>
      </c>
      <c r="D48" s="1" t="s">
        <v>537</v>
      </c>
      <c r="E48" s="35" t="s">
        <v>44</v>
      </c>
      <c r="F48" s="36">
        <v>1725</v>
      </c>
    </row>
    <row r="49" spans="1:6" ht="35" x14ac:dyDescent="0.2">
      <c r="A49" s="35">
        <v>48</v>
      </c>
      <c r="B49" s="35" t="s">
        <v>609</v>
      </c>
      <c r="C49" s="35" t="s">
        <v>624</v>
      </c>
      <c r="D49" s="1" t="s">
        <v>514</v>
      </c>
      <c r="E49" s="35" t="s">
        <v>23</v>
      </c>
      <c r="F49" s="36">
        <v>1620</v>
      </c>
    </row>
    <row r="50" spans="1:6" ht="35" x14ac:dyDescent="0.2">
      <c r="A50" s="35">
        <v>49</v>
      </c>
      <c r="B50" s="35" t="s">
        <v>607</v>
      </c>
      <c r="C50" s="35" t="s">
        <v>624</v>
      </c>
      <c r="D50" s="1" t="s">
        <v>554</v>
      </c>
      <c r="E50" s="35" t="s">
        <v>55</v>
      </c>
      <c r="F50" s="36">
        <v>1574</v>
      </c>
    </row>
    <row r="51" spans="1:6" ht="35" x14ac:dyDescent="0.2">
      <c r="A51" s="35">
        <v>50</v>
      </c>
      <c r="B51" s="35" t="s">
        <v>610</v>
      </c>
      <c r="C51" s="35" t="s">
        <v>624</v>
      </c>
      <c r="D51" s="1" t="s">
        <v>551</v>
      </c>
      <c r="E51" s="35" t="s">
        <v>51</v>
      </c>
      <c r="F51" s="36">
        <v>1497</v>
      </c>
    </row>
    <row r="52" spans="1:6" ht="35" x14ac:dyDescent="0.2">
      <c r="A52" s="35">
        <v>51</v>
      </c>
      <c r="B52" s="35" t="s">
        <v>617</v>
      </c>
      <c r="C52" s="35" t="s">
        <v>617</v>
      </c>
      <c r="D52" s="1" t="s">
        <v>550</v>
      </c>
      <c r="E52" s="35" t="s">
        <v>50</v>
      </c>
      <c r="F52" s="36">
        <v>1479</v>
      </c>
    </row>
    <row r="53" spans="1:6" ht="35" x14ac:dyDescent="0.2">
      <c r="A53" s="35">
        <v>52</v>
      </c>
      <c r="B53" s="35" t="s">
        <v>602</v>
      </c>
      <c r="C53" s="35" t="s">
        <v>627</v>
      </c>
      <c r="D53" s="1" t="s">
        <v>566</v>
      </c>
      <c r="E53" s="35" t="s">
        <v>70</v>
      </c>
      <c r="F53" s="36">
        <v>1457</v>
      </c>
    </row>
    <row r="54" spans="1:6" ht="35" x14ac:dyDescent="0.2">
      <c r="A54" s="35">
        <v>53</v>
      </c>
      <c r="B54" s="35" t="s">
        <v>610</v>
      </c>
      <c r="C54" s="35" t="s">
        <v>624</v>
      </c>
      <c r="D54" s="1" t="s">
        <v>558</v>
      </c>
      <c r="E54" s="35" t="s">
        <v>60</v>
      </c>
      <c r="F54" s="36">
        <v>1430</v>
      </c>
    </row>
    <row r="55" spans="1:6" ht="35" x14ac:dyDescent="0.2">
      <c r="A55" s="35">
        <v>54</v>
      </c>
      <c r="B55" s="35" t="s">
        <v>617</v>
      </c>
      <c r="C55" s="35" t="s">
        <v>617</v>
      </c>
      <c r="D55" s="1" t="s">
        <v>531</v>
      </c>
      <c r="E55" s="35" t="s">
        <v>38</v>
      </c>
      <c r="F55" s="36">
        <v>1380</v>
      </c>
    </row>
    <row r="56" spans="1:6" ht="35" x14ac:dyDescent="0.2">
      <c r="A56" s="35">
        <v>55</v>
      </c>
      <c r="B56" s="35" t="s">
        <v>603</v>
      </c>
      <c r="C56" s="35" t="s">
        <v>627</v>
      </c>
      <c r="D56" s="1" t="s">
        <v>572</v>
      </c>
      <c r="E56" s="35" t="s">
        <v>76</v>
      </c>
      <c r="F56" s="36">
        <v>1361</v>
      </c>
    </row>
    <row r="57" spans="1:6" ht="35" x14ac:dyDescent="0.2">
      <c r="A57" s="35">
        <v>56</v>
      </c>
      <c r="B57" s="35" t="s">
        <v>602</v>
      </c>
      <c r="C57" s="35" t="s">
        <v>627</v>
      </c>
      <c r="D57" s="1" t="s">
        <v>573</v>
      </c>
      <c r="E57" s="35" t="s">
        <v>77</v>
      </c>
      <c r="F57" s="36">
        <v>1336</v>
      </c>
    </row>
    <row r="58" spans="1:6" ht="35" x14ac:dyDescent="0.2">
      <c r="A58" s="35">
        <v>57</v>
      </c>
      <c r="B58" s="35" t="s">
        <v>602</v>
      </c>
      <c r="C58" s="35" t="s">
        <v>627</v>
      </c>
      <c r="D58" s="1" t="s">
        <v>574</v>
      </c>
      <c r="E58" s="35" t="s">
        <v>78</v>
      </c>
      <c r="F58" s="36">
        <v>1310</v>
      </c>
    </row>
    <row r="59" spans="1:6" ht="35" x14ac:dyDescent="0.2">
      <c r="A59" s="35">
        <v>58</v>
      </c>
      <c r="B59" s="35" t="s">
        <v>603</v>
      </c>
      <c r="C59" s="35" t="s">
        <v>627</v>
      </c>
      <c r="D59" s="1" t="s">
        <v>576</v>
      </c>
      <c r="E59" s="35" t="s">
        <v>80</v>
      </c>
      <c r="F59" s="36">
        <v>1263</v>
      </c>
    </row>
    <row r="60" spans="1:6" ht="35" x14ac:dyDescent="0.2">
      <c r="A60" s="35">
        <v>59</v>
      </c>
      <c r="B60" s="35" t="s">
        <v>609</v>
      </c>
      <c r="C60" s="35" t="s">
        <v>624</v>
      </c>
      <c r="D60" s="1" t="s">
        <v>540</v>
      </c>
      <c r="E60" s="35" t="s">
        <v>47</v>
      </c>
      <c r="F60" s="36">
        <v>1194</v>
      </c>
    </row>
    <row r="61" spans="1:6" ht="35" x14ac:dyDescent="0.2">
      <c r="A61" s="35">
        <v>60</v>
      </c>
      <c r="B61" s="35" t="s">
        <v>617</v>
      </c>
      <c r="C61" s="35" t="s">
        <v>617</v>
      </c>
      <c r="D61" s="1" t="s">
        <v>555</v>
      </c>
      <c r="E61" s="35" t="s">
        <v>56</v>
      </c>
      <c r="F61" s="36">
        <v>1170</v>
      </c>
    </row>
    <row r="62" spans="1:6" ht="35" x14ac:dyDescent="0.2">
      <c r="A62" s="35">
        <v>61</v>
      </c>
      <c r="B62" s="35" t="s">
        <v>611</v>
      </c>
      <c r="C62" s="35" t="s">
        <v>624</v>
      </c>
      <c r="D62" s="1" t="s">
        <v>563</v>
      </c>
      <c r="E62" s="35" t="s">
        <v>67</v>
      </c>
      <c r="F62" s="36">
        <v>1122</v>
      </c>
    </row>
    <row r="63" spans="1:6" ht="35" x14ac:dyDescent="0.2">
      <c r="A63" s="35">
        <v>62</v>
      </c>
      <c r="B63" s="35" t="s">
        <v>603</v>
      </c>
      <c r="C63" s="35" t="s">
        <v>627</v>
      </c>
      <c r="D63" s="1" t="s">
        <v>575</v>
      </c>
      <c r="E63" s="35" t="s">
        <v>79</v>
      </c>
      <c r="F63" s="36">
        <v>1084</v>
      </c>
    </row>
    <row r="64" spans="1:6" ht="35" x14ac:dyDescent="0.2">
      <c r="A64" s="35">
        <v>63</v>
      </c>
      <c r="B64" s="35" t="s">
        <v>616</v>
      </c>
      <c r="C64" s="35" t="s">
        <v>626</v>
      </c>
      <c r="D64" s="1" t="s">
        <v>521</v>
      </c>
      <c r="E64" s="35" t="s">
        <v>28</v>
      </c>
      <c r="F64" s="36">
        <v>1054</v>
      </c>
    </row>
    <row r="65" spans="1:6" ht="35" x14ac:dyDescent="0.2">
      <c r="A65" s="35">
        <v>64</v>
      </c>
      <c r="B65" s="35" t="s">
        <v>618</v>
      </c>
      <c r="C65" s="35" t="s">
        <v>617</v>
      </c>
      <c r="D65" s="1" t="s">
        <v>568</v>
      </c>
      <c r="E65" s="35" t="s">
        <v>72</v>
      </c>
      <c r="F65" s="36">
        <v>1033</v>
      </c>
    </row>
    <row r="66" spans="1:6" ht="35" x14ac:dyDescent="0.2">
      <c r="A66" s="35">
        <v>65</v>
      </c>
      <c r="B66" s="35" t="s">
        <v>609</v>
      </c>
      <c r="C66" s="35" t="s">
        <v>624</v>
      </c>
      <c r="D66" s="1" t="s">
        <v>571</v>
      </c>
      <c r="E66" s="35" t="s">
        <v>75</v>
      </c>
      <c r="F66" s="35">
        <v>991</v>
      </c>
    </row>
    <row r="67" spans="1:6" ht="35" x14ac:dyDescent="0.2">
      <c r="A67" s="35">
        <v>66</v>
      </c>
      <c r="B67" s="35" t="s">
        <v>623</v>
      </c>
      <c r="C67" s="35" t="s">
        <v>623</v>
      </c>
      <c r="D67" s="1" t="s">
        <v>534</v>
      </c>
      <c r="E67" s="35" t="s">
        <v>41</v>
      </c>
      <c r="F67" s="35">
        <v>978</v>
      </c>
    </row>
    <row r="68" spans="1:6" ht="35" x14ac:dyDescent="0.2">
      <c r="A68" s="35">
        <v>67</v>
      </c>
      <c r="B68" s="35" t="s">
        <v>608</v>
      </c>
      <c r="C68" s="35" t="s">
        <v>624</v>
      </c>
      <c r="D68" s="1" t="s">
        <v>525</v>
      </c>
      <c r="E68" s="35" t="s">
        <v>59</v>
      </c>
      <c r="F68" s="35">
        <v>937</v>
      </c>
    </row>
    <row r="69" spans="1:6" ht="35" x14ac:dyDescent="0.2">
      <c r="A69" s="35">
        <v>68</v>
      </c>
      <c r="B69" s="35" t="s">
        <v>616</v>
      </c>
      <c r="C69" s="35" t="s">
        <v>626</v>
      </c>
      <c r="D69" s="1" t="s">
        <v>528</v>
      </c>
      <c r="E69" s="35" t="s">
        <v>35</v>
      </c>
      <c r="F69" s="35">
        <v>922</v>
      </c>
    </row>
    <row r="70" spans="1:6" ht="35" x14ac:dyDescent="0.2">
      <c r="A70" s="35">
        <v>69</v>
      </c>
      <c r="B70" s="35" t="s">
        <v>603</v>
      </c>
      <c r="C70" s="35" t="s">
        <v>627</v>
      </c>
      <c r="D70" s="1" t="s">
        <v>579</v>
      </c>
      <c r="E70" s="35" t="s">
        <v>83</v>
      </c>
      <c r="F70" s="35">
        <v>900</v>
      </c>
    </row>
    <row r="71" spans="1:6" ht="35" x14ac:dyDescent="0.2">
      <c r="A71" s="35">
        <v>70</v>
      </c>
      <c r="B71" s="35" t="s">
        <v>607</v>
      </c>
      <c r="C71" s="35" t="s">
        <v>624</v>
      </c>
      <c r="D71" s="1" t="s">
        <v>560</v>
      </c>
      <c r="E71" s="35" t="s">
        <v>63</v>
      </c>
      <c r="F71" s="35">
        <v>888</v>
      </c>
    </row>
    <row r="72" spans="1:6" ht="35" x14ac:dyDescent="0.2">
      <c r="A72" s="35">
        <v>71</v>
      </c>
      <c r="B72" s="35" t="s">
        <v>613</v>
      </c>
      <c r="C72" s="35" t="s">
        <v>626</v>
      </c>
      <c r="D72" s="1" t="s">
        <v>538</v>
      </c>
      <c r="E72" s="35" t="s">
        <v>45</v>
      </c>
      <c r="F72" s="35">
        <v>871</v>
      </c>
    </row>
    <row r="73" spans="1:6" ht="35" x14ac:dyDescent="0.2">
      <c r="A73" s="35">
        <v>72</v>
      </c>
      <c r="B73" s="35" t="s">
        <v>620</v>
      </c>
      <c r="C73" s="35" t="s">
        <v>58</v>
      </c>
      <c r="D73" s="1" t="s">
        <v>597</v>
      </c>
      <c r="E73" s="35" t="s">
        <v>58</v>
      </c>
      <c r="F73" s="35">
        <v>834</v>
      </c>
    </row>
    <row r="74" spans="1:6" ht="35" x14ac:dyDescent="0.2">
      <c r="A74" s="35">
        <v>73</v>
      </c>
      <c r="B74" s="35" t="s">
        <v>602</v>
      </c>
      <c r="C74" s="35" t="s">
        <v>627</v>
      </c>
      <c r="D74" s="1" t="s">
        <v>594</v>
      </c>
      <c r="E74" s="35" t="s">
        <v>98</v>
      </c>
      <c r="F74" s="35">
        <v>794</v>
      </c>
    </row>
    <row r="75" spans="1:6" ht="35" x14ac:dyDescent="0.2">
      <c r="A75" s="35">
        <v>74</v>
      </c>
      <c r="B75" s="35" t="s">
        <v>611</v>
      </c>
      <c r="C75" s="35" t="s">
        <v>624</v>
      </c>
      <c r="D75" s="1" t="s">
        <v>587</v>
      </c>
      <c r="E75" s="35" t="s">
        <v>91</v>
      </c>
      <c r="F75" s="35">
        <v>744</v>
      </c>
    </row>
    <row r="76" spans="1:6" ht="35" x14ac:dyDescent="0.2">
      <c r="A76" s="35">
        <v>75</v>
      </c>
      <c r="B76" s="35" t="s">
        <v>617</v>
      </c>
      <c r="C76" s="35" t="s">
        <v>617</v>
      </c>
      <c r="D76" s="1" t="s">
        <v>570</v>
      </c>
      <c r="E76" s="35" t="s">
        <v>74</v>
      </c>
      <c r="F76" s="35">
        <v>741</v>
      </c>
    </row>
    <row r="77" spans="1:6" ht="35" x14ac:dyDescent="0.2">
      <c r="A77" s="35">
        <v>76</v>
      </c>
      <c r="B77" s="35" t="s">
        <v>617</v>
      </c>
      <c r="C77" s="35" t="s">
        <v>617</v>
      </c>
      <c r="D77" s="1" t="s">
        <v>577</v>
      </c>
      <c r="E77" s="35" t="s">
        <v>81</v>
      </c>
      <c r="F77" s="35">
        <v>713</v>
      </c>
    </row>
    <row r="78" spans="1:6" ht="35" x14ac:dyDescent="0.2">
      <c r="A78" s="35">
        <v>77</v>
      </c>
      <c r="B78" s="35" t="s">
        <v>602</v>
      </c>
      <c r="C78" s="35" t="s">
        <v>627</v>
      </c>
      <c r="D78" s="1" t="s">
        <v>600</v>
      </c>
      <c r="E78" s="35" t="s">
        <v>104</v>
      </c>
      <c r="F78" s="35">
        <v>710</v>
      </c>
    </row>
    <row r="79" spans="1:6" ht="35" x14ac:dyDescent="0.2">
      <c r="A79" s="35">
        <v>78</v>
      </c>
      <c r="B79" s="35" t="s">
        <v>619</v>
      </c>
      <c r="C79" s="35" t="s">
        <v>619</v>
      </c>
      <c r="D79" s="1" t="s">
        <v>580</v>
      </c>
      <c r="E79" s="35" t="s">
        <v>84</v>
      </c>
      <c r="F79" s="35">
        <v>708</v>
      </c>
    </row>
    <row r="80" spans="1:6" ht="35" x14ac:dyDescent="0.2">
      <c r="A80" s="35">
        <v>79</v>
      </c>
      <c r="B80" s="35" t="s">
        <v>621</v>
      </c>
      <c r="C80" s="35" t="s">
        <v>621</v>
      </c>
      <c r="D80" s="1" t="s">
        <v>588</v>
      </c>
      <c r="E80" s="35" t="s">
        <v>92</v>
      </c>
      <c r="F80" s="35">
        <v>700</v>
      </c>
    </row>
    <row r="81" spans="1:6" ht="35" x14ac:dyDescent="0.2">
      <c r="A81" s="35">
        <v>80</v>
      </c>
      <c r="B81" s="35" t="s">
        <v>605</v>
      </c>
      <c r="C81" s="35" t="s">
        <v>627</v>
      </c>
      <c r="D81" s="1" t="s">
        <v>1246</v>
      </c>
      <c r="E81" s="35" t="s">
        <v>122</v>
      </c>
      <c r="F81" s="35">
        <v>654</v>
      </c>
    </row>
    <row r="82" spans="1:6" ht="35" x14ac:dyDescent="0.2">
      <c r="A82" s="35">
        <v>81</v>
      </c>
      <c r="B82" s="35" t="s">
        <v>608</v>
      </c>
      <c r="C82" s="35" t="s">
        <v>624</v>
      </c>
      <c r="D82" s="1" t="s">
        <v>524</v>
      </c>
      <c r="E82" s="35" t="s">
        <v>32</v>
      </c>
      <c r="F82" s="35">
        <v>647</v>
      </c>
    </row>
    <row r="83" spans="1:6" ht="35" x14ac:dyDescent="0.2">
      <c r="A83" s="35">
        <v>82</v>
      </c>
      <c r="B83" s="35" t="s">
        <v>610</v>
      </c>
      <c r="C83" s="35" t="s">
        <v>624</v>
      </c>
      <c r="D83" s="1" t="s">
        <v>582</v>
      </c>
      <c r="E83" s="35" t="s">
        <v>86</v>
      </c>
      <c r="F83" s="35">
        <v>646</v>
      </c>
    </row>
    <row r="84" spans="1:6" ht="35" x14ac:dyDescent="0.2">
      <c r="A84" s="35">
        <v>83</v>
      </c>
      <c r="B84" s="35" t="s">
        <v>618</v>
      </c>
      <c r="C84" s="35" t="s">
        <v>617</v>
      </c>
      <c r="D84" s="1" t="s">
        <v>585</v>
      </c>
      <c r="E84" s="35" t="s">
        <v>89</v>
      </c>
      <c r="F84" s="35">
        <v>641</v>
      </c>
    </row>
    <row r="85" spans="1:6" ht="35" x14ac:dyDescent="0.2">
      <c r="A85" s="35">
        <v>84</v>
      </c>
      <c r="B85" s="35" t="s">
        <v>613</v>
      </c>
      <c r="C85" s="35" t="s">
        <v>626</v>
      </c>
      <c r="D85" s="1" t="s">
        <v>536</v>
      </c>
      <c r="E85" s="35" t="s">
        <v>43</v>
      </c>
      <c r="F85" s="35">
        <v>581</v>
      </c>
    </row>
    <row r="86" spans="1:6" ht="35" x14ac:dyDescent="0.2">
      <c r="A86" s="35">
        <v>85</v>
      </c>
      <c r="B86" s="35" t="s">
        <v>619</v>
      </c>
      <c r="C86" s="35" t="s">
        <v>619</v>
      </c>
      <c r="D86" s="1" t="s">
        <v>583</v>
      </c>
      <c r="E86" s="35" t="s">
        <v>87</v>
      </c>
      <c r="F86" s="35">
        <v>557</v>
      </c>
    </row>
    <row r="87" spans="1:6" ht="35" x14ac:dyDescent="0.2">
      <c r="A87" s="35">
        <v>86</v>
      </c>
      <c r="B87" s="35" t="s">
        <v>605</v>
      </c>
      <c r="C87" s="35" t="s">
        <v>627</v>
      </c>
      <c r="D87" s="1" t="s">
        <v>1238</v>
      </c>
      <c r="E87" s="35" t="s">
        <v>113</v>
      </c>
      <c r="F87" s="35">
        <v>519</v>
      </c>
    </row>
    <row r="88" spans="1:6" ht="35" x14ac:dyDescent="0.2">
      <c r="A88" s="35">
        <v>87</v>
      </c>
      <c r="B88" s="35" t="s">
        <v>613</v>
      </c>
      <c r="C88" s="35" t="s">
        <v>626</v>
      </c>
      <c r="D88" s="1" t="s">
        <v>567</v>
      </c>
      <c r="E88" s="35" t="s">
        <v>71</v>
      </c>
      <c r="F88" s="35">
        <v>503</v>
      </c>
    </row>
    <row r="89" spans="1:6" ht="35" x14ac:dyDescent="0.2">
      <c r="A89" s="35">
        <v>88</v>
      </c>
      <c r="B89" s="35" t="s">
        <v>617</v>
      </c>
      <c r="C89" s="35" t="s">
        <v>617</v>
      </c>
      <c r="D89" s="1" t="s">
        <v>564</v>
      </c>
      <c r="E89" s="35" t="s">
        <v>68</v>
      </c>
      <c r="F89" s="35">
        <v>483</v>
      </c>
    </row>
    <row r="90" spans="1:6" ht="35" x14ac:dyDescent="0.2">
      <c r="A90" s="35">
        <v>89</v>
      </c>
      <c r="B90" s="35" t="s">
        <v>602</v>
      </c>
      <c r="C90" s="35" t="s">
        <v>627</v>
      </c>
      <c r="D90" s="1" t="s">
        <v>546</v>
      </c>
      <c r="E90" s="35" t="s">
        <v>125</v>
      </c>
      <c r="F90" s="35">
        <v>474</v>
      </c>
    </row>
    <row r="91" spans="1:6" ht="35" x14ac:dyDescent="0.2">
      <c r="A91" s="35">
        <v>90</v>
      </c>
      <c r="B91" s="35" t="s">
        <v>610</v>
      </c>
      <c r="C91" s="35" t="s">
        <v>624</v>
      </c>
      <c r="D91" s="1" t="s">
        <v>596</v>
      </c>
      <c r="E91" s="35" t="s">
        <v>100</v>
      </c>
      <c r="F91" s="35">
        <v>472</v>
      </c>
    </row>
    <row r="92" spans="1:6" ht="35" x14ac:dyDescent="0.2">
      <c r="A92" s="35">
        <v>91</v>
      </c>
      <c r="B92" s="35" t="s">
        <v>602</v>
      </c>
      <c r="C92" s="35" t="s">
        <v>627</v>
      </c>
      <c r="D92" s="1" t="s">
        <v>1243</v>
      </c>
      <c r="E92" s="35" t="s">
        <v>118</v>
      </c>
      <c r="F92" s="35">
        <v>466</v>
      </c>
    </row>
    <row r="93" spans="1:6" ht="35" x14ac:dyDescent="0.2">
      <c r="A93" s="35">
        <v>92</v>
      </c>
      <c r="B93" s="35" t="s">
        <v>614</v>
      </c>
      <c r="C93" s="35" t="s">
        <v>626</v>
      </c>
      <c r="D93" s="1" t="s">
        <v>569</v>
      </c>
      <c r="E93" s="35" t="s">
        <v>73</v>
      </c>
      <c r="F93" s="35">
        <v>460</v>
      </c>
    </row>
    <row r="94" spans="1:6" ht="35" x14ac:dyDescent="0.2">
      <c r="A94" s="35">
        <v>93</v>
      </c>
      <c r="B94" s="35" t="s">
        <v>604</v>
      </c>
      <c r="C94" s="35" t="s">
        <v>627</v>
      </c>
      <c r="D94" s="1" t="s">
        <v>578</v>
      </c>
      <c r="E94" s="35" t="s">
        <v>82</v>
      </c>
      <c r="F94" s="35">
        <v>459</v>
      </c>
    </row>
    <row r="95" spans="1:6" ht="35" x14ac:dyDescent="0.2">
      <c r="A95" s="35">
        <v>94</v>
      </c>
      <c r="B95" s="35" t="s">
        <v>609</v>
      </c>
      <c r="C95" s="35" t="s">
        <v>624</v>
      </c>
      <c r="D95" s="1" t="s">
        <v>601</v>
      </c>
      <c r="E95" s="35" t="s">
        <v>105</v>
      </c>
      <c r="F95" s="35">
        <v>447</v>
      </c>
    </row>
    <row r="96" spans="1:6" ht="35" x14ac:dyDescent="0.2">
      <c r="A96" s="35">
        <v>95</v>
      </c>
      <c r="B96" s="35" t="s">
        <v>611</v>
      </c>
      <c r="C96" s="35" t="s">
        <v>624</v>
      </c>
      <c r="D96" s="1" t="s">
        <v>1231</v>
      </c>
      <c r="E96" s="35" t="s">
        <v>106</v>
      </c>
      <c r="F96" s="35">
        <v>439</v>
      </c>
    </row>
    <row r="97" spans="1:6" ht="35" x14ac:dyDescent="0.2">
      <c r="A97" s="35">
        <v>96</v>
      </c>
      <c r="B97" s="35" t="s">
        <v>611</v>
      </c>
      <c r="C97" s="35" t="s">
        <v>624</v>
      </c>
      <c r="D97" s="1" t="s">
        <v>1233</v>
      </c>
      <c r="E97" s="35" t="s">
        <v>108</v>
      </c>
      <c r="F97" s="35">
        <v>413</v>
      </c>
    </row>
    <row r="98" spans="1:6" ht="35" x14ac:dyDescent="0.2">
      <c r="A98" s="35">
        <v>97</v>
      </c>
      <c r="B98" s="35" t="s">
        <v>610</v>
      </c>
      <c r="C98" s="35" t="s">
        <v>624</v>
      </c>
      <c r="D98" s="1" t="s">
        <v>1217</v>
      </c>
      <c r="E98" s="35" t="s">
        <v>121</v>
      </c>
      <c r="F98" s="35">
        <v>401</v>
      </c>
    </row>
    <row r="99" spans="1:6" ht="35" x14ac:dyDescent="0.2">
      <c r="A99" s="35">
        <v>98</v>
      </c>
      <c r="B99" s="35" t="s">
        <v>617</v>
      </c>
      <c r="C99" s="35" t="s">
        <v>617</v>
      </c>
      <c r="D99" s="1" t="s">
        <v>1234</v>
      </c>
      <c r="E99" s="35" t="s">
        <v>109</v>
      </c>
      <c r="F99" s="35">
        <v>375</v>
      </c>
    </row>
    <row r="100" spans="1:6" ht="35" x14ac:dyDescent="0.2">
      <c r="A100" s="35">
        <v>99</v>
      </c>
      <c r="B100" s="35" t="s">
        <v>608</v>
      </c>
      <c r="C100" s="35" t="s">
        <v>624</v>
      </c>
      <c r="D100" s="1" t="s">
        <v>1329</v>
      </c>
      <c r="E100" s="35" t="s">
        <v>257</v>
      </c>
      <c r="F100" s="35">
        <v>363</v>
      </c>
    </row>
    <row r="101" spans="1:6" ht="35" x14ac:dyDescent="0.2">
      <c r="A101" s="35">
        <v>100</v>
      </c>
      <c r="B101" s="35" t="s">
        <v>618</v>
      </c>
      <c r="C101" s="35" t="s">
        <v>617</v>
      </c>
      <c r="D101" s="1" t="s">
        <v>1235</v>
      </c>
      <c r="E101" s="35" t="s">
        <v>110</v>
      </c>
      <c r="F101" s="35">
        <v>362</v>
      </c>
    </row>
    <row r="102" spans="1:6" ht="35" x14ac:dyDescent="0.2">
      <c r="D102" s="1"/>
    </row>
    <row r="103" spans="1:6" ht="35" x14ac:dyDescent="0.2">
      <c r="D103" s="1"/>
    </row>
    <row r="104" spans="1:6" ht="35" x14ac:dyDescent="0.2">
      <c r="D104" s="1"/>
    </row>
    <row r="105" spans="1:6" ht="35" x14ac:dyDescent="0.2">
      <c r="D105" s="1"/>
    </row>
    <row r="106" spans="1:6" ht="35" x14ac:dyDescent="0.2">
      <c r="D106" s="1"/>
    </row>
    <row r="107" spans="1:6" ht="35" x14ac:dyDescent="0.2">
      <c r="D107" s="1"/>
    </row>
    <row r="108" spans="1:6" ht="35" x14ac:dyDescent="0.2">
      <c r="D108" s="1"/>
    </row>
    <row r="109" spans="1:6" ht="35" x14ac:dyDescent="0.2">
      <c r="D109" s="1"/>
    </row>
    <row r="110" spans="1:6" ht="35" x14ac:dyDescent="0.2">
      <c r="D110" s="1"/>
    </row>
    <row r="111" spans="1:6" ht="35" x14ac:dyDescent="0.2">
      <c r="D111" s="1"/>
    </row>
    <row r="112" spans="1:6" ht="35" x14ac:dyDescent="0.2">
      <c r="D112" s="1"/>
    </row>
    <row r="113" spans="4:4" ht="35" x14ac:dyDescent="0.2">
      <c r="D113" s="1"/>
    </row>
    <row r="114" spans="4:4" ht="35" x14ac:dyDescent="0.2">
      <c r="D114" s="1"/>
    </row>
    <row r="115" spans="4:4" ht="35" x14ac:dyDescent="0.2">
      <c r="D115" s="1"/>
    </row>
    <row r="116" spans="4:4" ht="35" x14ac:dyDescent="0.2">
      <c r="D116" s="1"/>
    </row>
    <row r="117" spans="4:4" ht="35" x14ac:dyDescent="0.2">
      <c r="D117" s="1"/>
    </row>
    <row r="118" spans="4:4" ht="35" x14ac:dyDescent="0.2">
      <c r="D118" s="1"/>
    </row>
    <row r="119" spans="4:4" ht="35" x14ac:dyDescent="0.2">
      <c r="D119" s="1"/>
    </row>
    <row r="120" spans="4:4" ht="35" x14ac:dyDescent="0.2">
      <c r="D120" s="1"/>
    </row>
    <row r="121" spans="4:4" ht="35" x14ac:dyDescent="0.2">
      <c r="D121" s="1"/>
    </row>
    <row r="122" spans="4:4" ht="35" x14ac:dyDescent="0.2">
      <c r="D122" s="1"/>
    </row>
    <row r="123" spans="4:4" ht="35" x14ac:dyDescent="0.2">
      <c r="D123" s="1"/>
    </row>
    <row r="124" spans="4:4" ht="35" x14ac:dyDescent="0.2">
      <c r="D124" s="1"/>
    </row>
    <row r="125" spans="4:4" ht="35" x14ac:dyDescent="0.2">
      <c r="D125" s="1"/>
    </row>
    <row r="126" spans="4:4" ht="35" x14ac:dyDescent="0.2">
      <c r="D126" s="1"/>
    </row>
    <row r="127" spans="4:4" ht="35" x14ac:dyDescent="0.2">
      <c r="D127" s="1"/>
    </row>
    <row r="128" spans="4:4" ht="35" x14ac:dyDescent="0.2">
      <c r="D128" s="1"/>
    </row>
    <row r="129" spans="4:4" ht="35" x14ac:dyDescent="0.2">
      <c r="D129" s="1"/>
    </row>
    <row r="130" spans="4:4" ht="35" x14ac:dyDescent="0.2">
      <c r="D130" s="1"/>
    </row>
    <row r="131" spans="4:4" ht="35" x14ac:dyDescent="0.2">
      <c r="D131" s="1"/>
    </row>
    <row r="132" spans="4:4" ht="35" x14ac:dyDescent="0.2">
      <c r="D132" s="1"/>
    </row>
    <row r="133" spans="4:4" ht="35" x14ac:dyDescent="0.2">
      <c r="D133" s="1"/>
    </row>
    <row r="134" spans="4:4" ht="35" x14ac:dyDescent="0.2">
      <c r="D134" s="1"/>
    </row>
    <row r="135" spans="4:4" ht="35" x14ac:dyDescent="0.2">
      <c r="D135" s="1"/>
    </row>
    <row r="136" spans="4:4" ht="35" x14ac:dyDescent="0.2">
      <c r="D136" s="1"/>
    </row>
    <row r="137" spans="4:4" ht="35" x14ac:dyDescent="0.2">
      <c r="D137" s="1"/>
    </row>
    <row r="138" spans="4:4" ht="35" x14ac:dyDescent="0.2">
      <c r="D138" s="1"/>
    </row>
    <row r="139" spans="4:4" ht="35" x14ac:dyDescent="0.2">
      <c r="D139" s="1"/>
    </row>
    <row r="140" spans="4:4" ht="35" x14ac:dyDescent="0.2">
      <c r="D140" s="1"/>
    </row>
    <row r="141" spans="4:4" ht="35" x14ac:dyDescent="0.2">
      <c r="D141" s="1"/>
    </row>
    <row r="142" spans="4:4" ht="35" x14ac:dyDescent="0.2">
      <c r="D142" s="1"/>
    </row>
    <row r="143" spans="4:4" ht="35" x14ac:dyDescent="0.2">
      <c r="D143" s="1"/>
    </row>
    <row r="144" spans="4:4" ht="35" x14ac:dyDescent="0.2">
      <c r="D144" s="1"/>
    </row>
    <row r="145" spans="4:4" ht="35" x14ac:dyDescent="0.2">
      <c r="D145" s="1"/>
    </row>
    <row r="146" spans="4:4" ht="35" x14ac:dyDescent="0.2">
      <c r="D146" s="1"/>
    </row>
    <row r="147" spans="4:4" ht="35" x14ac:dyDescent="0.2">
      <c r="D147" s="1"/>
    </row>
    <row r="148" spans="4:4" ht="35" x14ac:dyDescent="0.2">
      <c r="D148" s="1"/>
    </row>
    <row r="149" spans="4:4" ht="35" x14ac:dyDescent="0.2">
      <c r="D149" s="1"/>
    </row>
    <row r="150" spans="4:4" ht="35" x14ac:dyDescent="0.2">
      <c r="D150" s="1"/>
    </row>
    <row r="151" spans="4:4" ht="35" x14ac:dyDescent="0.2">
      <c r="D151" s="1"/>
    </row>
    <row r="152" spans="4:4" ht="35" x14ac:dyDescent="0.2">
      <c r="D152" s="1"/>
    </row>
    <row r="153" spans="4:4" ht="35" x14ac:dyDescent="0.2">
      <c r="D153" s="1"/>
    </row>
    <row r="154" spans="4:4" ht="35" x14ac:dyDescent="0.2">
      <c r="D154" s="1"/>
    </row>
    <row r="155" spans="4:4" ht="35" x14ac:dyDescent="0.2">
      <c r="D155" s="1"/>
    </row>
    <row r="156" spans="4:4" ht="35" x14ac:dyDescent="0.2">
      <c r="D156" s="1"/>
    </row>
    <row r="157" spans="4:4" ht="35" x14ac:dyDescent="0.2">
      <c r="D157" s="1"/>
    </row>
    <row r="158" spans="4:4" ht="35" x14ac:dyDescent="0.2">
      <c r="D158" s="1"/>
    </row>
    <row r="159" spans="4:4" ht="35" x14ac:dyDescent="0.2">
      <c r="D159" s="1"/>
    </row>
    <row r="160" spans="4:4" ht="35" x14ac:dyDescent="0.2">
      <c r="D160" s="1"/>
    </row>
    <row r="161" spans="4:4" ht="35" x14ac:dyDescent="0.2">
      <c r="D161" s="1"/>
    </row>
    <row r="162" spans="4:4" ht="35" x14ac:dyDescent="0.2">
      <c r="D162" s="1"/>
    </row>
    <row r="163" spans="4:4" ht="35" x14ac:dyDescent="0.2">
      <c r="D163" s="1"/>
    </row>
    <row r="164" spans="4:4" ht="35" x14ac:dyDescent="0.2">
      <c r="D164" s="1"/>
    </row>
    <row r="165" spans="4:4" ht="35" x14ac:dyDescent="0.2">
      <c r="D165" s="1"/>
    </row>
    <row r="166" spans="4:4" ht="35" x14ac:dyDescent="0.2">
      <c r="D166" s="1"/>
    </row>
    <row r="167" spans="4:4" ht="35" x14ac:dyDescent="0.2">
      <c r="D167" s="1"/>
    </row>
    <row r="168" spans="4:4" ht="35" x14ac:dyDescent="0.2">
      <c r="D168" s="1"/>
    </row>
    <row r="169" spans="4:4" ht="35" x14ac:dyDescent="0.2">
      <c r="D169" s="1"/>
    </row>
    <row r="170" spans="4:4" ht="35" x14ac:dyDescent="0.2">
      <c r="D170" s="1"/>
    </row>
    <row r="171" spans="4:4" ht="35" x14ac:dyDescent="0.2">
      <c r="D171" s="1"/>
    </row>
    <row r="172" spans="4:4" ht="35" x14ac:dyDescent="0.2">
      <c r="D172" s="1"/>
    </row>
    <row r="173" spans="4:4" ht="35" x14ac:dyDescent="0.2">
      <c r="D173" s="1"/>
    </row>
    <row r="174" spans="4:4" ht="35" x14ac:dyDescent="0.2">
      <c r="D174" s="1"/>
    </row>
    <row r="175" spans="4:4" ht="35" x14ac:dyDescent="0.2">
      <c r="D175" s="1"/>
    </row>
    <row r="176" spans="4:4" ht="35" x14ac:dyDescent="0.2">
      <c r="D176" s="1"/>
    </row>
    <row r="177" spans="4:4" ht="35" x14ac:dyDescent="0.2">
      <c r="D177" s="1"/>
    </row>
    <row r="178" spans="4:4" ht="35" x14ac:dyDescent="0.2">
      <c r="D178" s="1"/>
    </row>
    <row r="179" spans="4:4" ht="35" x14ac:dyDescent="0.2">
      <c r="D179" s="1"/>
    </row>
    <row r="180" spans="4:4" ht="35" x14ac:dyDescent="0.2">
      <c r="D180" s="1"/>
    </row>
    <row r="181" spans="4:4" ht="35" x14ac:dyDescent="0.2">
      <c r="D181" s="1"/>
    </row>
    <row r="182" spans="4:4" ht="35" x14ac:dyDescent="0.2">
      <c r="D182" s="1"/>
    </row>
    <row r="183" spans="4:4" ht="35" x14ac:dyDescent="0.2">
      <c r="D183" s="1"/>
    </row>
    <row r="184" spans="4:4" ht="35" x14ac:dyDescent="0.2">
      <c r="D184" s="1"/>
    </row>
    <row r="185" spans="4:4" ht="35" x14ac:dyDescent="0.2">
      <c r="D185" s="1"/>
    </row>
    <row r="186" spans="4:4" ht="35" x14ac:dyDescent="0.2">
      <c r="D186" s="1"/>
    </row>
    <row r="187" spans="4:4" ht="35" x14ac:dyDescent="0.2">
      <c r="D187" s="1"/>
    </row>
    <row r="188" spans="4:4" ht="35" x14ac:dyDescent="0.2">
      <c r="D188" s="1"/>
    </row>
    <row r="189" spans="4:4" ht="35" x14ac:dyDescent="0.2">
      <c r="D189" s="1"/>
    </row>
    <row r="190" spans="4:4" ht="35" x14ac:dyDescent="0.2">
      <c r="D190" s="1"/>
    </row>
    <row r="191" spans="4:4" ht="35" x14ac:dyDescent="0.2">
      <c r="D191" s="1"/>
    </row>
    <row r="192" spans="4:4" ht="35" x14ac:dyDescent="0.2">
      <c r="D192" s="1"/>
    </row>
    <row r="193" spans="4:4" ht="35" x14ac:dyDescent="0.2">
      <c r="D193" s="1"/>
    </row>
    <row r="194" spans="4:4" ht="35" x14ac:dyDescent="0.2">
      <c r="D194" s="1"/>
    </row>
    <row r="195" spans="4:4" ht="35" x14ac:dyDescent="0.2">
      <c r="D195" s="1"/>
    </row>
    <row r="196" spans="4:4" ht="35" x14ac:dyDescent="0.2">
      <c r="D196" s="1"/>
    </row>
  </sheetData>
  <autoFilter ref="A1:F101" xr:uid="{AF6672F4-DA3A-C441-AE7D-771D73CE97F0}"/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E15B2-C7E5-754F-B790-30CA70843B93}">
  <dimension ref="A1:I163"/>
  <sheetViews>
    <sheetView zoomScale="85" workbookViewId="0">
      <pane ySplit="1" topLeftCell="A2" activePane="bottomLeft" state="frozen"/>
      <selection pane="bottomLeft" activeCell="V43" sqref="V43"/>
    </sheetView>
  </sheetViews>
  <sheetFormatPr baseColWidth="10" defaultRowHeight="16" x14ac:dyDescent="0.2"/>
  <cols>
    <col min="1" max="1" width="4.1640625" bestFit="1" customWidth="1"/>
    <col min="2" max="2" width="11.33203125" customWidth="1"/>
    <col min="4" max="4" width="20.5" customWidth="1"/>
    <col min="6" max="6" width="22.83203125" bestFit="1" customWidth="1"/>
    <col min="8" max="8" width="13.1640625" customWidth="1"/>
  </cols>
  <sheetData>
    <row r="1" spans="1:9" x14ac:dyDescent="0.2">
      <c r="A1" s="40" t="s">
        <v>0</v>
      </c>
      <c r="B1" s="40" t="s">
        <v>1343</v>
      </c>
      <c r="C1" s="40" t="s">
        <v>1348</v>
      </c>
      <c r="D1" s="40" t="s">
        <v>1</v>
      </c>
      <c r="E1" s="40" t="s">
        <v>1347</v>
      </c>
      <c r="H1" s="37" t="s">
        <v>1343</v>
      </c>
      <c r="I1" s="37" t="s">
        <v>1348</v>
      </c>
    </row>
    <row r="2" spans="1:9" ht="18" x14ac:dyDescent="0.2">
      <c r="A2">
        <v>1</v>
      </c>
      <c r="B2" t="s">
        <v>626</v>
      </c>
      <c r="C2" s="39" t="s">
        <v>1294</v>
      </c>
      <c r="D2" s="23" t="s">
        <v>175</v>
      </c>
      <c r="E2" s="39">
        <v>1.1120000000000001</v>
      </c>
      <c r="H2" t="str">
        <f>VLOOKUP(D2,Сountries!V:Z,2,0)</f>
        <v>Europe</v>
      </c>
      <c r="I2" t="str">
        <f>VLOOKUP(D2,Сountries!V:Z,5,0)</f>
        <v>🇮🇸</v>
      </c>
    </row>
    <row r="3" spans="1:9" ht="18" x14ac:dyDescent="0.2">
      <c r="A3">
        <v>2</v>
      </c>
      <c r="B3" t="s">
        <v>626</v>
      </c>
      <c r="C3" s="39" t="s">
        <v>557</v>
      </c>
      <c r="D3" s="23" t="s">
        <v>101</v>
      </c>
      <c r="E3" s="39">
        <v>1.1240000000000001</v>
      </c>
      <c r="H3" t="str">
        <f>VLOOKUP(D3,Сountries!V:Z,2,0)</f>
        <v>Europe</v>
      </c>
      <c r="I3" t="str">
        <f>VLOOKUP(D3,Сountries!V:Z,5,0)</f>
        <v>🇦🇹</v>
      </c>
    </row>
    <row r="4" spans="1:9" ht="18" x14ac:dyDescent="0.2">
      <c r="A4">
        <v>3</v>
      </c>
      <c r="B4" t="s">
        <v>626</v>
      </c>
      <c r="C4" s="39" t="s">
        <v>1249</v>
      </c>
      <c r="D4" s="23" t="s">
        <v>126</v>
      </c>
      <c r="E4" s="39">
        <v>1.1240000000000001</v>
      </c>
      <c r="H4" t="str">
        <f>VLOOKUP(D4,Сountries!V:Z,2,0)</f>
        <v>Europe</v>
      </c>
      <c r="I4" t="str">
        <f>VLOOKUP(D4,Сountries!V:Z,5,0)</f>
        <v>🇮🇪</v>
      </c>
    </row>
    <row r="5" spans="1:9" ht="18" x14ac:dyDescent="0.2">
      <c r="A5">
        <v>4</v>
      </c>
      <c r="B5" t="s">
        <v>620</v>
      </c>
      <c r="C5" s="39" t="s">
        <v>1250</v>
      </c>
      <c r="D5" s="23" t="s">
        <v>127</v>
      </c>
      <c r="E5" s="39">
        <v>1.323</v>
      </c>
      <c r="H5" t="str">
        <f>VLOOKUP(D5,Сountries!V:Z,2,0)</f>
        <v>Australia and New Zealand</v>
      </c>
      <c r="I5" t="str">
        <f>VLOOKUP(D5,Сountries!V:Z,5,0)</f>
        <v>🇳🇿</v>
      </c>
    </row>
    <row r="6" spans="1:9" ht="18" x14ac:dyDescent="0.2">
      <c r="A6">
        <v>5</v>
      </c>
      <c r="B6" t="s">
        <v>624</v>
      </c>
      <c r="C6" s="39" t="s">
        <v>1241</v>
      </c>
      <c r="D6" s="23" t="s">
        <v>116</v>
      </c>
      <c r="E6" s="39">
        <v>1.339</v>
      </c>
      <c r="H6" t="str">
        <f>VLOOKUP(D6,Сountries!V:Z,2,0)</f>
        <v>Asia</v>
      </c>
      <c r="I6" t="str">
        <f>VLOOKUP(D6,Сountries!V:Z,5,0)</f>
        <v>🇸🇬</v>
      </c>
    </row>
    <row r="7" spans="1:9" ht="18" x14ac:dyDescent="0.2">
      <c r="A7">
        <v>6</v>
      </c>
      <c r="B7" t="s">
        <v>626</v>
      </c>
      <c r="C7" s="39" t="s">
        <v>599</v>
      </c>
      <c r="D7" s="23" t="s">
        <v>103</v>
      </c>
      <c r="E7" s="39">
        <v>1.35</v>
      </c>
      <c r="H7" t="str">
        <f>VLOOKUP(D7,Сountries!V:Z,2,0)</f>
        <v>Europe</v>
      </c>
      <c r="I7" t="str">
        <f>VLOOKUP(D7,Сountries!V:Z,5,0)</f>
        <v>🇨🇭</v>
      </c>
    </row>
    <row r="8" spans="1:9" ht="18" x14ac:dyDescent="0.2">
      <c r="A8">
        <v>7</v>
      </c>
      <c r="B8" t="s">
        <v>626</v>
      </c>
      <c r="C8" s="39" t="s">
        <v>591</v>
      </c>
      <c r="D8" s="23" t="s">
        <v>95</v>
      </c>
      <c r="E8" s="39">
        <v>1.3720000000000001</v>
      </c>
      <c r="H8" t="str">
        <f>VLOOKUP(D8,Сountries!V:Z,2,0)</f>
        <v>Europe</v>
      </c>
      <c r="I8" t="str">
        <f>VLOOKUP(D8,Сountries!V:Z,5,0)</f>
        <v>🇵🇹</v>
      </c>
    </row>
    <row r="9" spans="1:9" ht="18" x14ac:dyDescent="0.2">
      <c r="A9">
        <v>8</v>
      </c>
      <c r="B9" t="s">
        <v>626</v>
      </c>
      <c r="C9" s="39" t="s">
        <v>1240</v>
      </c>
      <c r="D9" s="23" t="s">
        <v>115</v>
      </c>
      <c r="E9" s="39">
        <v>1.3819999999999999</v>
      </c>
      <c r="H9" t="str">
        <f>VLOOKUP(D9,Сountries!V:Z,2,0)</f>
        <v>Europe</v>
      </c>
      <c r="I9" t="str">
        <f>VLOOKUP(D9,Сountries!V:Z,5,0)</f>
        <v>🇩🇰</v>
      </c>
    </row>
    <row r="10" spans="1:9" ht="18" x14ac:dyDescent="0.2">
      <c r="A10">
        <v>9</v>
      </c>
      <c r="B10" t="s">
        <v>626</v>
      </c>
      <c r="C10" s="39" t="s">
        <v>1271</v>
      </c>
      <c r="D10" s="23" t="s">
        <v>149</v>
      </c>
      <c r="E10" s="39">
        <v>1.395</v>
      </c>
      <c r="H10" t="str">
        <f>VLOOKUP(D10,Сountries!V:Z,2,0)</f>
        <v>Europe</v>
      </c>
      <c r="I10" t="str">
        <f>VLOOKUP(D10,Сountries!V:Z,5,0)</f>
        <v>🇸🇮</v>
      </c>
    </row>
    <row r="11" spans="1:9" ht="18" x14ac:dyDescent="0.2">
      <c r="A11">
        <v>10</v>
      </c>
      <c r="B11" t="s">
        <v>624</v>
      </c>
      <c r="C11" s="39" t="s">
        <v>540</v>
      </c>
      <c r="D11" s="23" t="s">
        <v>47</v>
      </c>
      <c r="E11" s="39">
        <v>1.427</v>
      </c>
      <c r="H11" t="str">
        <f>VLOOKUP(D11,Сountries!V:Z,2,0)</f>
        <v>Asia</v>
      </c>
      <c r="I11" t="str">
        <f>VLOOKUP(D11,Сountries!V:Z,5,0)</f>
        <v>🇲🇾</v>
      </c>
    </row>
    <row r="12" spans="1:9" ht="18" x14ac:dyDescent="0.2">
      <c r="A12">
        <v>11</v>
      </c>
      <c r="B12" t="s">
        <v>625</v>
      </c>
      <c r="C12" s="39" t="s">
        <v>534</v>
      </c>
      <c r="D12" s="23" t="s">
        <v>41</v>
      </c>
      <c r="E12" s="39">
        <v>1.4490000000000001</v>
      </c>
      <c r="H12" t="str">
        <f>VLOOKUP(D12,Сountries!V:Z,2,0)</f>
        <v>America</v>
      </c>
      <c r="I12" t="str">
        <f>VLOOKUP(D12,Сountries!V:Z,5,0)</f>
        <v>🇨🇦</v>
      </c>
    </row>
    <row r="13" spans="1:9" ht="18" x14ac:dyDescent="0.2">
      <c r="A13">
        <v>12</v>
      </c>
      <c r="B13" t="s">
        <v>626</v>
      </c>
      <c r="C13" s="39" t="s">
        <v>590</v>
      </c>
      <c r="D13" s="23" t="s">
        <v>1320</v>
      </c>
      <c r="E13" s="39">
        <v>1.4590000000000001</v>
      </c>
      <c r="H13" t="str">
        <f>VLOOKUP(D13,Сountries!V:Z,2,0)</f>
        <v>Europe</v>
      </c>
      <c r="I13" t="str">
        <f>VLOOKUP(D13,Сountries!V:Z,5,0)</f>
        <v>🇨🇿</v>
      </c>
    </row>
    <row r="14" spans="1:9" ht="18" x14ac:dyDescent="0.2">
      <c r="A14">
        <v>13</v>
      </c>
      <c r="B14" t="s">
        <v>626</v>
      </c>
      <c r="C14" s="39" t="s">
        <v>1244</v>
      </c>
      <c r="D14" s="23" t="s">
        <v>119</v>
      </c>
      <c r="E14" s="39">
        <v>1.474</v>
      </c>
      <c r="H14" t="str">
        <f>VLOOKUP(D14,Сountries!V:Z,2,0)</f>
        <v>Europe</v>
      </c>
      <c r="I14" t="str">
        <f>VLOOKUP(D14,Сountries!V:Z,5,0)</f>
        <v>🇫🇮</v>
      </c>
    </row>
    <row r="15" spans="1:9" ht="18" x14ac:dyDescent="0.2">
      <c r="A15">
        <v>14</v>
      </c>
      <c r="B15" t="s">
        <v>626</v>
      </c>
      <c r="C15" s="39" t="s">
        <v>595</v>
      </c>
      <c r="D15" s="23" t="s">
        <v>99</v>
      </c>
      <c r="E15" s="39">
        <v>1.502</v>
      </c>
      <c r="H15" t="str">
        <f>VLOOKUP(D15,Сountries!V:Z,2,0)</f>
        <v>Europe</v>
      </c>
      <c r="I15" t="str">
        <f>VLOOKUP(D15,Сountries!V:Z,5,0)</f>
        <v>🇭🇺</v>
      </c>
    </row>
    <row r="16" spans="1:9" ht="18" x14ac:dyDescent="0.2">
      <c r="A16">
        <v>15</v>
      </c>
      <c r="B16" t="s">
        <v>626</v>
      </c>
      <c r="C16" s="39" t="s">
        <v>1254</v>
      </c>
      <c r="D16" s="23" t="s">
        <v>131</v>
      </c>
      <c r="E16" s="39">
        <v>1.504</v>
      </c>
      <c r="H16" t="str">
        <f>VLOOKUP(D16,Сountries!V:Z,2,0)</f>
        <v>Europe</v>
      </c>
      <c r="I16" t="str">
        <f>VLOOKUP(D16,Сountries!V:Z,5,0)</f>
        <v>🇭🇷</v>
      </c>
    </row>
    <row r="17" spans="1:9" ht="18" x14ac:dyDescent="0.2">
      <c r="A17">
        <v>16</v>
      </c>
      <c r="B17" t="s">
        <v>626</v>
      </c>
      <c r="C17" s="39" t="s">
        <v>581</v>
      </c>
      <c r="D17" s="23" t="s">
        <v>85</v>
      </c>
      <c r="E17" s="39">
        <v>1.51</v>
      </c>
      <c r="H17" t="str">
        <f>VLOOKUP(D17,Сountries!V:Z,2,0)</f>
        <v>Europe</v>
      </c>
      <c r="I17" t="str">
        <f>VLOOKUP(D17,Сountries!V:Z,5,0)</f>
        <v>🇧🇪</v>
      </c>
    </row>
    <row r="18" spans="1:9" ht="18" x14ac:dyDescent="0.2">
      <c r="A18">
        <v>17</v>
      </c>
      <c r="B18" t="s">
        <v>624</v>
      </c>
      <c r="C18" s="39" t="s">
        <v>506</v>
      </c>
      <c r="D18" s="23" t="s">
        <v>15</v>
      </c>
      <c r="E18" s="39">
        <v>1.5249999999999999</v>
      </c>
      <c r="H18" t="str">
        <f>VLOOKUP(D18,Сountries!V:Z,2,0)</f>
        <v>Asia</v>
      </c>
      <c r="I18" t="str">
        <f>VLOOKUP(D18,Сountries!V:Z,5,0)</f>
        <v>🇯🇵</v>
      </c>
    </row>
    <row r="19" spans="1:9" ht="18" x14ac:dyDescent="0.2">
      <c r="A19">
        <v>18</v>
      </c>
      <c r="B19" t="s">
        <v>626</v>
      </c>
      <c r="C19" s="39" t="s">
        <v>569</v>
      </c>
      <c r="D19" s="23" t="s">
        <v>73</v>
      </c>
      <c r="E19" s="39">
        <v>1.5269999999999999</v>
      </c>
      <c r="H19" t="str">
        <f>VLOOKUP(D19,Сountries!V:Z,2,0)</f>
        <v>Europe</v>
      </c>
      <c r="I19" t="str">
        <f>VLOOKUP(D19,Сountries!V:Z,5,0)</f>
        <v>🇳🇱</v>
      </c>
    </row>
    <row r="20" spans="1:9" ht="18" x14ac:dyDescent="0.2">
      <c r="A20">
        <v>19</v>
      </c>
      <c r="B20" t="s">
        <v>620</v>
      </c>
      <c r="C20" s="39" t="s">
        <v>597</v>
      </c>
      <c r="D20" s="23" t="s">
        <v>58</v>
      </c>
      <c r="E20" s="39">
        <v>1.536</v>
      </c>
      <c r="H20" t="str">
        <f>VLOOKUP(D20,Сountries!V:Z,2,0)</f>
        <v>Australia and New Zealand</v>
      </c>
      <c r="I20" t="str">
        <f>VLOOKUP(D20,Сountries!V:Z,5,0)</f>
        <v>🇦🇺</v>
      </c>
    </row>
    <row r="21" spans="1:9" ht="18" x14ac:dyDescent="0.2">
      <c r="A21">
        <v>20</v>
      </c>
      <c r="B21" t="s">
        <v>626</v>
      </c>
      <c r="C21" s="39" t="s">
        <v>513</v>
      </c>
      <c r="D21" s="23" t="s">
        <v>22</v>
      </c>
      <c r="E21" s="39">
        <v>1.542</v>
      </c>
      <c r="H21" t="str">
        <f>VLOOKUP(D21,Сountries!V:Z,2,0)</f>
        <v>Europe</v>
      </c>
      <c r="I21" t="str">
        <f>VLOOKUP(D21,Сountries!V:Z,5,0)</f>
        <v>🇩🇪</v>
      </c>
    </row>
    <row r="22" spans="1:9" ht="18" x14ac:dyDescent="0.2">
      <c r="A22">
        <v>21</v>
      </c>
      <c r="B22" t="s">
        <v>624</v>
      </c>
      <c r="C22" s="39" t="s">
        <v>1286</v>
      </c>
      <c r="D22" s="23" t="s">
        <v>165</v>
      </c>
      <c r="E22" s="39">
        <v>1.5640000000000001</v>
      </c>
      <c r="H22" t="str">
        <f>VLOOKUP(D22,Сountries!V:Z,2,0)</f>
        <v>Asia</v>
      </c>
      <c r="I22" t="str">
        <f>VLOOKUP(D22,Сountries!V:Z,5,0)</f>
        <v>🇧🇹</v>
      </c>
    </row>
    <row r="23" spans="1:9" ht="18" x14ac:dyDescent="0.2">
      <c r="A23">
        <v>22</v>
      </c>
      <c r="B23" t="s">
        <v>627</v>
      </c>
      <c r="C23" s="39" t="s">
        <v>547</v>
      </c>
      <c r="D23" s="23" t="s">
        <v>158</v>
      </c>
      <c r="E23" s="39">
        <v>1.577</v>
      </c>
      <c r="H23" t="str">
        <f>VLOOKUP(D23,Сountries!V:Z,2,0)</f>
        <v>Africa</v>
      </c>
      <c r="I23" t="str">
        <f>VLOOKUP(D23,Сountries!V:Z,5,0)</f>
        <v>🇲🇺</v>
      </c>
    </row>
    <row r="24" spans="1:9" ht="18" x14ac:dyDescent="0.2">
      <c r="A24">
        <v>23</v>
      </c>
      <c r="B24" t="s">
        <v>626</v>
      </c>
      <c r="C24" s="39" t="s">
        <v>528</v>
      </c>
      <c r="D24" s="23" t="s">
        <v>35</v>
      </c>
      <c r="E24" s="39">
        <v>1.597</v>
      </c>
      <c r="H24" t="str">
        <f>VLOOKUP(D24,Сountries!V:Z,2,0)</f>
        <v>Europe</v>
      </c>
      <c r="I24" t="str">
        <f>VLOOKUP(D24,Сountries!V:Z,5,0)</f>
        <v>🇪🇸</v>
      </c>
    </row>
    <row r="25" spans="1:9" ht="18" x14ac:dyDescent="0.2">
      <c r="A25">
        <v>24</v>
      </c>
      <c r="B25" t="s">
        <v>626</v>
      </c>
      <c r="C25" s="39" t="s">
        <v>1279</v>
      </c>
      <c r="D25" s="23" t="s">
        <v>157</v>
      </c>
      <c r="E25" s="39">
        <v>1.615</v>
      </c>
      <c r="H25" t="str">
        <f>VLOOKUP(D25,Сountries!V:Z,2,0)</f>
        <v>Europe</v>
      </c>
      <c r="I25" t="str">
        <f>VLOOKUP(D25,Сountries!V:Z,5,0)</f>
        <v>🇪🇪</v>
      </c>
    </row>
    <row r="26" spans="1:9" ht="18" x14ac:dyDescent="0.2">
      <c r="A26">
        <v>25</v>
      </c>
      <c r="B26" t="s">
        <v>624</v>
      </c>
      <c r="C26" s="39" t="s">
        <v>1252</v>
      </c>
      <c r="D26" s="23" t="s">
        <v>129</v>
      </c>
      <c r="E26" s="39">
        <v>1.6220000000000001</v>
      </c>
      <c r="H26" t="str">
        <f>VLOOKUP(D26,Сountries!V:Z,2,0)</f>
        <v>Asia</v>
      </c>
      <c r="I26" t="str">
        <f>VLOOKUP(D26,Сountries!V:Z,5,0)</f>
        <v>🇰🇼</v>
      </c>
    </row>
    <row r="27" spans="1:9" ht="18" x14ac:dyDescent="0.2">
      <c r="A27">
        <v>26</v>
      </c>
      <c r="B27" t="s">
        <v>626</v>
      </c>
      <c r="C27" s="39" t="s">
        <v>1236</v>
      </c>
      <c r="D27" s="23" t="s">
        <v>111</v>
      </c>
      <c r="E27" s="39">
        <v>1.629</v>
      </c>
      <c r="H27" t="str">
        <f>VLOOKUP(D27,Сountries!V:Z,2,0)</f>
        <v>Europe</v>
      </c>
      <c r="I27" t="str">
        <f>VLOOKUP(D27,Сountries!V:Z,5,0)</f>
        <v>🇧🇬</v>
      </c>
    </row>
    <row r="28" spans="1:9" ht="18" x14ac:dyDescent="0.2">
      <c r="A28">
        <v>27</v>
      </c>
      <c r="B28" t="s">
        <v>626</v>
      </c>
      <c r="C28" s="39" t="s">
        <v>1248</v>
      </c>
      <c r="D28" s="23" t="s">
        <v>124</v>
      </c>
      <c r="E28" s="39">
        <v>1.6339999999999999</v>
      </c>
      <c r="H28" t="str">
        <f>VLOOKUP(D28,Сountries!V:Z,2,0)</f>
        <v>Europe</v>
      </c>
      <c r="I28" t="str">
        <f>VLOOKUP(D28,Сountries!V:Z,5,0)</f>
        <v>🇸🇰</v>
      </c>
    </row>
    <row r="29" spans="1:9" ht="18" x14ac:dyDescent="0.2">
      <c r="A29">
        <v>28</v>
      </c>
      <c r="B29" t="s">
        <v>626</v>
      </c>
      <c r="C29" s="39" t="s">
        <v>1245</v>
      </c>
      <c r="D29" s="23" t="s">
        <v>120</v>
      </c>
      <c r="E29" s="39">
        <v>1.6379999999999999</v>
      </c>
      <c r="H29" t="str">
        <f>VLOOKUP(D29,Сountries!V:Z,2,0)</f>
        <v>Europe</v>
      </c>
      <c r="I29" t="str">
        <f>VLOOKUP(D29,Сountries!V:Z,5,0)</f>
        <v>🇳🇴</v>
      </c>
    </row>
    <row r="30" spans="1:9" ht="18" x14ac:dyDescent="0.2">
      <c r="A30">
        <v>29</v>
      </c>
      <c r="B30" t="s">
        <v>624</v>
      </c>
      <c r="C30" s="39" t="s">
        <v>1259</v>
      </c>
      <c r="D30" s="23" t="s">
        <v>137</v>
      </c>
      <c r="E30" s="39">
        <v>1.6559999999999999</v>
      </c>
      <c r="H30" t="str">
        <f>VLOOKUP(D30,Сountries!V:Z,2,0)</f>
        <v>Asia</v>
      </c>
      <c r="I30" t="str">
        <f>VLOOKUP(D30,Сountries!V:Z,5,0)</f>
        <v>🇶🇦</v>
      </c>
    </row>
    <row r="31" spans="1:9" ht="18" x14ac:dyDescent="0.2">
      <c r="A31">
        <v>30</v>
      </c>
      <c r="B31" t="s">
        <v>626</v>
      </c>
      <c r="C31" s="39" t="s">
        <v>1273</v>
      </c>
      <c r="D31" s="23" t="s">
        <v>151</v>
      </c>
      <c r="E31" s="39">
        <v>1.661</v>
      </c>
      <c r="H31" t="str">
        <f>VLOOKUP(D31,Сountries!V:Z,2,0)</f>
        <v>Europe</v>
      </c>
      <c r="I31" t="str">
        <f>VLOOKUP(D31,Сountries!V:Z,5,0)</f>
        <v>🇱🇻</v>
      </c>
    </row>
    <row r="32" spans="1:9" ht="18" x14ac:dyDescent="0.2">
      <c r="A32">
        <v>31</v>
      </c>
      <c r="B32" t="s">
        <v>626</v>
      </c>
      <c r="C32" s="39" t="s">
        <v>1264</v>
      </c>
      <c r="D32" s="23" t="s">
        <v>142</v>
      </c>
      <c r="E32" s="39">
        <v>1.6719999999999999</v>
      </c>
      <c r="H32" t="str">
        <f>VLOOKUP(D32,Сountries!V:Z,2,0)</f>
        <v>Europe</v>
      </c>
      <c r="I32" t="str">
        <f>VLOOKUP(D32,Сountries!V:Z,5,0)</f>
        <v>🇱🇹</v>
      </c>
    </row>
    <row r="33" spans="1:9" ht="18" x14ac:dyDescent="0.2">
      <c r="A33">
        <v>32</v>
      </c>
      <c r="B33" t="s">
        <v>626</v>
      </c>
      <c r="C33" s="39" t="s">
        <v>538</v>
      </c>
      <c r="D33" s="23" t="s">
        <v>45</v>
      </c>
      <c r="E33" s="39">
        <v>1.6779999999999999</v>
      </c>
      <c r="H33" t="str">
        <f>VLOOKUP(D33,Сountries!V:Z,2,0)</f>
        <v>Europe</v>
      </c>
      <c r="I33" t="str">
        <f>VLOOKUP(D33,Сountries!V:Z,5,0)</f>
        <v>🇵🇱</v>
      </c>
    </row>
    <row r="34" spans="1:9" ht="18" x14ac:dyDescent="0.2">
      <c r="A34">
        <v>33</v>
      </c>
      <c r="B34" t="s">
        <v>626</v>
      </c>
      <c r="C34" s="39" t="s">
        <v>521</v>
      </c>
      <c r="D34" s="23" t="s">
        <v>28</v>
      </c>
      <c r="E34" s="39">
        <v>1.6919999999999999</v>
      </c>
      <c r="H34" t="str">
        <f>VLOOKUP(D34,Сountries!V:Z,2,0)</f>
        <v>Europe</v>
      </c>
      <c r="I34" t="str">
        <f>VLOOKUP(D34,Сountries!V:Z,5,0)</f>
        <v>🇮🇹</v>
      </c>
    </row>
    <row r="35" spans="1:9" ht="18" x14ac:dyDescent="0.2">
      <c r="A35">
        <v>34</v>
      </c>
      <c r="B35" t="s">
        <v>626</v>
      </c>
      <c r="C35" s="39" t="s">
        <v>516</v>
      </c>
      <c r="D35" s="23" t="s">
        <v>25</v>
      </c>
      <c r="E35" s="39">
        <v>1.7030000000000001</v>
      </c>
      <c r="H35" t="str">
        <f>VLOOKUP(D35,Сountries!V:Z,2,0)</f>
        <v>Europe</v>
      </c>
      <c r="I35" t="str">
        <f>VLOOKUP(D35,Сountries!V:Z,5,0)</f>
        <v>🇬🇧</v>
      </c>
    </row>
    <row r="36" spans="1:9" ht="18" x14ac:dyDescent="0.2">
      <c r="A36">
        <v>35</v>
      </c>
      <c r="B36" t="s">
        <v>626</v>
      </c>
      <c r="C36" s="39" t="s">
        <v>1289</v>
      </c>
      <c r="D36" s="23" t="s">
        <v>168</v>
      </c>
      <c r="E36" s="39">
        <v>1.746</v>
      </c>
      <c r="H36" t="str">
        <f>VLOOKUP(D36,Сountries!V:Z,2,0)</f>
        <v>Europe</v>
      </c>
      <c r="I36" t="str">
        <f>VLOOKUP(D36,Сountries!V:Z,5,0)</f>
        <v>🇲🇪</v>
      </c>
    </row>
    <row r="37" spans="1:9" ht="18" x14ac:dyDescent="0.2">
      <c r="A37">
        <v>36</v>
      </c>
      <c r="B37" t="s">
        <v>626</v>
      </c>
      <c r="C37" s="39" t="s">
        <v>567</v>
      </c>
      <c r="D37" s="23" t="s">
        <v>71</v>
      </c>
      <c r="E37" s="39">
        <v>1.7549999999999999</v>
      </c>
      <c r="H37" t="str">
        <f>VLOOKUP(D37,Сountries!V:Z,2,0)</f>
        <v>Europe</v>
      </c>
      <c r="I37" t="str">
        <f>VLOOKUP(D37,Сountries!V:Z,5,0)</f>
        <v>🇷🇴</v>
      </c>
    </row>
    <row r="38" spans="1:9" ht="18" x14ac:dyDescent="0.2">
      <c r="A38">
        <v>37</v>
      </c>
      <c r="B38" t="s">
        <v>624</v>
      </c>
      <c r="C38" s="39" t="s">
        <v>1247</v>
      </c>
      <c r="D38" s="23" t="s">
        <v>123</v>
      </c>
      <c r="E38" s="39">
        <v>1.7609999999999999</v>
      </c>
      <c r="H38" t="str">
        <f>VLOOKUP(D38,Сountries!V:Z,2,0)</f>
        <v>Asia</v>
      </c>
      <c r="I38" t="str">
        <f>VLOOKUP(D38,Сountries!V:Z,5,0)</f>
        <v>🇴🇲</v>
      </c>
    </row>
    <row r="39" spans="1:9" ht="18" x14ac:dyDescent="0.2">
      <c r="A39">
        <v>38</v>
      </c>
      <c r="B39" t="s">
        <v>626</v>
      </c>
      <c r="C39" s="39" t="s">
        <v>1274</v>
      </c>
      <c r="D39" s="23" t="s">
        <v>152</v>
      </c>
      <c r="E39" s="39">
        <v>1.764</v>
      </c>
      <c r="H39" t="str">
        <f>VLOOKUP(D39,Сountries!V:Z,2,0)</f>
        <v>Europe</v>
      </c>
      <c r="I39" t="str">
        <f>VLOOKUP(D39,Сountries!V:Z,5,0)</f>
        <v>🇲🇰</v>
      </c>
    </row>
    <row r="40" spans="1:9" ht="18" x14ac:dyDescent="0.2">
      <c r="A40">
        <v>39</v>
      </c>
      <c r="B40" t="s">
        <v>626</v>
      </c>
      <c r="C40" s="39" t="s">
        <v>589</v>
      </c>
      <c r="D40" s="23" t="s">
        <v>93</v>
      </c>
      <c r="E40" s="39">
        <v>1.782</v>
      </c>
      <c r="H40" t="str">
        <f>VLOOKUP(D40,Сountries!V:Z,2,0)</f>
        <v>Europe</v>
      </c>
      <c r="I40" t="str">
        <f>VLOOKUP(D40,Сountries!V:Z,5,0)</f>
        <v>🇸🇪</v>
      </c>
    </row>
    <row r="41" spans="1:9" ht="18" x14ac:dyDescent="0.2">
      <c r="A41">
        <v>40</v>
      </c>
      <c r="B41" t="s">
        <v>626</v>
      </c>
      <c r="C41" s="39" t="s">
        <v>593</v>
      </c>
      <c r="D41" s="23" t="s">
        <v>97</v>
      </c>
      <c r="E41" s="39">
        <v>1.7929999999999999</v>
      </c>
      <c r="H41" t="str">
        <f>VLOOKUP(D41,Сountries!V:Z,2,0)</f>
        <v>Europe</v>
      </c>
      <c r="I41" t="str">
        <f>VLOOKUP(D41,Сountries!V:Z,5,0)</f>
        <v>🇬🇷</v>
      </c>
    </row>
    <row r="42" spans="1:9" ht="18" x14ac:dyDescent="0.2">
      <c r="A42">
        <v>41</v>
      </c>
      <c r="B42" t="s">
        <v>624</v>
      </c>
      <c r="C42" s="39" t="s">
        <v>510</v>
      </c>
      <c r="D42" s="23" t="s">
        <v>19</v>
      </c>
      <c r="E42" s="39">
        <v>1.802</v>
      </c>
      <c r="H42" t="str">
        <f>VLOOKUP(D42,Сountries!V:Z,2,0)</f>
        <v>Asia</v>
      </c>
      <c r="I42" t="str">
        <f>VLOOKUP(D42,Сountries!V:Z,5,0)</f>
        <v>🇻🇳</v>
      </c>
    </row>
    <row r="43" spans="1:9" ht="18" x14ac:dyDescent="0.2">
      <c r="A43">
        <v>42</v>
      </c>
      <c r="B43" t="s">
        <v>626</v>
      </c>
      <c r="C43" s="39" t="s">
        <v>1266</v>
      </c>
      <c r="D43" s="23" t="s">
        <v>144</v>
      </c>
      <c r="E43" s="39">
        <v>1.8089999999999999</v>
      </c>
      <c r="H43" t="str">
        <f>VLOOKUP(D43,Сountries!V:Z,2,0)</f>
        <v>Europe</v>
      </c>
      <c r="I43" t="str">
        <f>VLOOKUP(D43,Сountries!V:Z,5,0)</f>
        <v>🇦🇱</v>
      </c>
    </row>
    <row r="44" spans="1:9" ht="18" x14ac:dyDescent="0.2">
      <c r="A44">
        <v>43</v>
      </c>
      <c r="B44" t="s">
        <v>624</v>
      </c>
      <c r="C44" s="39" t="s">
        <v>1329</v>
      </c>
      <c r="D44" s="23" t="s">
        <v>257</v>
      </c>
      <c r="E44" s="39">
        <v>1.8180000000000001</v>
      </c>
      <c r="H44" t="str">
        <f>VLOOKUP(D44,Сountries!V:Z,2,0)</f>
        <v>Asia</v>
      </c>
      <c r="I44" t="str">
        <f>VLOOKUP(D44,Сountries!V:Z,5,0)</f>
        <v>🇹🇼</v>
      </c>
    </row>
    <row r="45" spans="1:9" ht="18" x14ac:dyDescent="0.2">
      <c r="A45">
        <v>44</v>
      </c>
      <c r="B45" t="s">
        <v>627</v>
      </c>
      <c r="C45" s="39" t="s">
        <v>542</v>
      </c>
      <c r="D45" s="23" t="s">
        <v>52</v>
      </c>
      <c r="E45" s="39">
        <v>1.8380000000000001</v>
      </c>
      <c r="H45" t="str">
        <f>VLOOKUP(D45,Сountries!V:Z,2,0)</f>
        <v>Africa</v>
      </c>
      <c r="I45" t="str">
        <f>VLOOKUP(D45,Сountries!V:Z,5,0)</f>
        <v>🇲🇬</v>
      </c>
    </row>
    <row r="46" spans="1:9" ht="18" x14ac:dyDescent="0.2">
      <c r="A46">
        <v>45</v>
      </c>
      <c r="B46" t="s">
        <v>624</v>
      </c>
      <c r="C46" s="39" t="s">
        <v>1257</v>
      </c>
      <c r="D46" s="23" t="s">
        <v>134</v>
      </c>
      <c r="E46" s="39">
        <v>1.845</v>
      </c>
      <c r="H46" t="str">
        <f>VLOOKUP(D46,Сountries!V:Z,2,0)</f>
        <v>Asia</v>
      </c>
      <c r="I46" t="str">
        <f>VLOOKUP(D46,Сountries!V:Z,5,0)</f>
        <v>🇲🇳</v>
      </c>
    </row>
    <row r="47" spans="1:9" ht="18" x14ac:dyDescent="0.2">
      <c r="A47">
        <v>46</v>
      </c>
      <c r="B47" t="s">
        <v>624</v>
      </c>
      <c r="C47" s="39" t="s">
        <v>524</v>
      </c>
      <c r="D47" s="23" t="s">
        <v>32</v>
      </c>
      <c r="E47" s="39">
        <v>1.8480000000000001</v>
      </c>
      <c r="H47" t="str">
        <f>VLOOKUP(D47,Сountries!V:Z,2,0)</f>
        <v>Asia</v>
      </c>
      <c r="I47" t="str">
        <f>VLOOKUP(D47,Сountries!V:Z,5,0)</f>
        <v>🇰🇷</v>
      </c>
    </row>
    <row r="48" spans="1:9" ht="18" x14ac:dyDescent="0.2">
      <c r="A48">
        <v>47</v>
      </c>
      <c r="B48" t="s">
        <v>625</v>
      </c>
      <c r="C48" s="39" t="s">
        <v>531</v>
      </c>
      <c r="D48" s="23" t="s">
        <v>38</v>
      </c>
      <c r="E48" s="39">
        <v>1.855</v>
      </c>
      <c r="H48" t="str">
        <f>VLOOKUP(D48,Сountries!V:Z,2,0)</f>
        <v>America</v>
      </c>
      <c r="I48" t="str">
        <f>VLOOKUP(D48,Сountries!V:Z,5,0)</f>
        <v>🇦🇷</v>
      </c>
    </row>
    <row r="49" spans="1:9" ht="18" x14ac:dyDescent="0.2">
      <c r="A49">
        <v>48</v>
      </c>
      <c r="B49" t="s">
        <v>624</v>
      </c>
      <c r="C49" s="39" t="s">
        <v>498</v>
      </c>
      <c r="D49" s="23" t="s">
        <v>7</v>
      </c>
      <c r="E49" s="39">
        <v>1.857</v>
      </c>
      <c r="H49" t="str">
        <f>VLOOKUP(D49,Сountries!V:Z,2,0)</f>
        <v>Asia</v>
      </c>
      <c r="I49" t="str">
        <f>VLOOKUP(D49,Сountries!V:Z,5,0)</f>
        <v>🇮🇩</v>
      </c>
    </row>
    <row r="50" spans="1:9" ht="18" x14ac:dyDescent="0.2">
      <c r="A50">
        <v>49</v>
      </c>
      <c r="B50" t="s">
        <v>624</v>
      </c>
      <c r="C50" s="39" t="s">
        <v>601</v>
      </c>
      <c r="D50" s="23" t="s">
        <v>105</v>
      </c>
      <c r="E50" s="39">
        <v>1.861</v>
      </c>
      <c r="H50" t="str">
        <f>VLOOKUP(D50,Сountries!V:Z,2,0)</f>
        <v>Asia</v>
      </c>
      <c r="I50" t="str">
        <f>VLOOKUP(D50,Сountries!V:Z,5,0)</f>
        <v>🇱🇦</v>
      </c>
    </row>
    <row r="51" spans="1:9" ht="18" x14ac:dyDescent="0.2">
      <c r="A51">
        <v>50</v>
      </c>
      <c r="B51" t="s">
        <v>627</v>
      </c>
      <c r="C51" s="39" t="s">
        <v>1268</v>
      </c>
      <c r="D51" s="23" t="s">
        <v>146</v>
      </c>
      <c r="E51" s="39">
        <v>1.863</v>
      </c>
      <c r="H51" t="str">
        <f>VLOOKUP(D51,Сountries!V:Z,2,0)</f>
        <v>Africa</v>
      </c>
      <c r="I51" t="str">
        <f>VLOOKUP(D51,Сountries!V:Z,5,0)</f>
        <v>🇧🇼</v>
      </c>
    </row>
    <row r="52" spans="1:9" ht="18" x14ac:dyDescent="0.2">
      <c r="A52">
        <v>51</v>
      </c>
      <c r="B52" t="s">
        <v>624</v>
      </c>
      <c r="C52" s="39" t="s">
        <v>1277</v>
      </c>
      <c r="D52" s="23" t="s">
        <v>155</v>
      </c>
      <c r="E52" s="39">
        <v>1.8819999999999999</v>
      </c>
      <c r="H52" t="str">
        <f>VLOOKUP(D52,Сountries!V:Z,2,0)</f>
        <v>Asia</v>
      </c>
      <c r="I52" t="str">
        <f>VLOOKUP(D52,Сountries!V:Z,5,0)</f>
        <v>🇹🇱</v>
      </c>
    </row>
    <row r="53" spans="1:9" ht="18" x14ac:dyDescent="0.2">
      <c r="A53">
        <v>52</v>
      </c>
      <c r="B53" t="s">
        <v>625</v>
      </c>
      <c r="C53" s="39" t="s">
        <v>518</v>
      </c>
      <c r="D53" s="23" t="s">
        <v>135</v>
      </c>
      <c r="E53" s="39">
        <v>1.893</v>
      </c>
      <c r="H53" t="str">
        <f>VLOOKUP(D53,Сountries!V:Z,2,0)</f>
        <v>America</v>
      </c>
      <c r="I53" t="str">
        <f>VLOOKUP(D53,Сountries!V:Z,5,0)</f>
        <v>🇺🇾</v>
      </c>
    </row>
    <row r="54" spans="1:9" ht="18" x14ac:dyDescent="0.2">
      <c r="A54">
        <v>53</v>
      </c>
      <c r="B54" t="s">
        <v>624</v>
      </c>
      <c r="C54" s="39" t="s">
        <v>517</v>
      </c>
      <c r="D54" s="23" t="s">
        <v>88</v>
      </c>
      <c r="E54" s="39">
        <v>1.897</v>
      </c>
      <c r="H54" t="str">
        <f>VLOOKUP(D54,Сountries!V:Z,2,0)</f>
        <v>Asia</v>
      </c>
      <c r="I54" t="str">
        <f>VLOOKUP(D54,Сountries!V:Z,5,0)</f>
        <v>🇦🇪</v>
      </c>
    </row>
    <row r="55" spans="1:9" ht="18" x14ac:dyDescent="0.2">
      <c r="A55">
        <v>54</v>
      </c>
      <c r="B55" t="s">
        <v>626</v>
      </c>
      <c r="C55" s="39" t="s">
        <v>1237</v>
      </c>
      <c r="D55" s="23" t="s">
        <v>112</v>
      </c>
      <c r="E55" s="39">
        <v>1.93</v>
      </c>
      <c r="H55" t="str">
        <f>VLOOKUP(D55,Сountries!V:Z,2,0)</f>
        <v>Europe</v>
      </c>
      <c r="I55" t="str">
        <f>VLOOKUP(D55,Сountries!V:Z,5,0)</f>
        <v>🇷🇸</v>
      </c>
    </row>
    <row r="56" spans="1:9" ht="18" x14ac:dyDescent="0.2">
      <c r="A56">
        <v>55</v>
      </c>
      <c r="B56" t="s">
        <v>627</v>
      </c>
      <c r="C56" s="39" t="s">
        <v>549</v>
      </c>
      <c r="D56" s="23" t="s">
        <v>49</v>
      </c>
      <c r="E56" s="39">
        <v>1.9379999999999999</v>
      </c>
      <c r="H56" t="str">
        <f>VLOOKUP(D56,Сountries!V:Z,2,0)</f>
        <v>Africa</v>
      </c>
      <c r="I56" t="str">
        <f>VLOOKUP(D56,Сountries!V:Z,5,0)</f>
        <v>🇬🇭</v>
      </c>
    </row>
    <row r="57" spans="1:9" ht="18" x14ac:dyDescent="0.2">
      <c r="A57">
        <v>56</v>
      </c>
      <c r="B57" t="s">
        <v>627</v>
      </c>
      <c r="C57" s="39" t="s">
        <v>561</v>
      </c>
      <c r="D57" s="23" t="s">
        <v>65</v>
      </c>
      <c r="E57" s="39">
        <v>1.948</v>
      </c>
      <c r="H57" t="str">
        <f>VLOOKUP(D57,Сountries!V:Z,2,0)</f>
        <v>Africa</v>
      </c>
      <c r="I57" t="str">
        <f>VLOOKUP(D57,Сountries!V:Z,5,0)</f>
        <v>🇿🇲</v>
      </c>
    </row>
    <row r="58" spans="1:9" ht="18" x14ac:dyDescent="0.2">
      <c r="A58">
        <v>57</v>
      </c>
      <c r="B58" t="s">
        <v>625</v>
      </c>
      <c r="C58" s="39" t="s">
        <v>1251</v>
      </c>
      <c r="D58" s="23" t="s">
        <v>128</v>
      </c>
      <c r="E58" s="39">
        <v>1.95</v>
      </c>
      <c r="H58" t="str">
        <f>VLOOKUP(D58,Сountries!V:Z,2,0)</f>
        <v>America</v>
      </c>
      <c r="I58" t="str">
        <f>VLOOKUP(D58,Сountries!V:Z,5,0)</f>
        <v>🇨🇷</v>
      </c>
    </row>
    <row r="59" spans="1:9" ht="18" x14ac:dyDescent="0.2">
      <c r="A59">
        <v>58</v>
      </c>
      <c r="B59" t="s">
        <v>624</v>
      </c>
      <c r="C59" s="39" t="s">
        <v>563</v>
      </c>
      <c r="D59" s="23" t="s">
        <v>67</v>
      </c>
      <c r="E59" s="39">
        <v>1.954</v>
      </c>
      <c r="H59" t="str">
        <f>VLOOKUP(D59,Сountries!V:Z,2,0)</f>
        <v>Asia</v>
      </c>
      <c r="I59" t="str">
        <f>VLOOKUP(D59,Сountries!V:Z,5,0)</f>
        <v>🇰🇿</v>
      </c>
    </row>
    <row r="60" spans="1:9" ht="18" x14ac:dyDescent="0.2">
      <c r="A60">
        <v>59</v>
      </c>
      <c r="B60" t="s">
        <v>624</v>
      </c>
      <c r="C60" s="39" t="s">
        <v>539</v>
      </c>
      <c r="D60" s="23" t="s">
        <v>46</v>
      </c>
      <c r="E60" s="39">
        <v>1.9570000000000001</v>
      </c>
      <c r="H60" t="str">
        <f>VLOOKUP(D60,Сountries!V:Z,2,0)</f>
        <v>Asia</v>
      </c>
      <c r="I60" t="str">
        <f>VLOOKUP(D60,Сountries!V:Z,5,0)</f>
        <v>🇺🇿</v>
      </c>
    </row>
    <row r="61" spans="1:9" ht="18" x14ac:dyDescent="0.2">
      <c r="A61">
        <v>60</v>
      </c>
      <c r="B61" t="s">
        <v>626</v>
      </c>
      <c r="C61" s="39" t="s">
        <v>1258</v>
      </c>
      <c r="D61" s="23" t="s">
        <v>136</v>
      </c>
      <c r="E61" s="39">
        <v>1.9610000000000001</v>
      </c>
      <c r="H61" t="str">
        <f>VLOOKUP(D61,Сountries!V:Z,2,0)</f>
        <v>Europe</v>
      </c>
      <c r="I61" t="str">
        <f>VLOOKUP(D61,Сountries!V:Z,5,0)</f>
        <v>🇧🇦</v>
      </c>
    </row>
    <row r="62" spans="1:9" ht="18" x14ac:dyDescent="0.2">
      <c r="A62">
        <v>61</v>
      </c>
      <c r="B62" t="s">
        <v>627</v>
      </c>
      <c r="C62" s="39" t="s">
        <v>1260</v>
      </c>
      <c r="D62" s="23" t="s">
        <v>138</v>
      </c>
      <c r="E62" s="39">
        <v>1.972</v>
      </c>
      <c r="H62" t="str">
        <f>VLOOKUP(D62,Сountries!V:Z,2,0)</f>
        <v>Africa</v>
      </c>
      <c r="I62" t="str">
        <f>VLOOKUP(D62,Сountries!V:Z,5,0)</f>
        <v>🇳🇦</v>
      </c>
    </row>
    <row r="63" spans="1:9" ht="18" x14ac:dyDescent="0.2">
      <c r="A63">
        <v>62</v>
      </c>
      <c r="B63" t="s">
        <v>626</v>
      </c>
      <c r="C63" s="39" t="s">
        <v>1261</v>
      </c>
      <c r="D63" s="23" t="s">
        <v>139</v>
      </c>
      <c r="E63" s="39">
        <v>1.976</v>
      </c>
      <c r="H63" t="str">
        <f>VLOOKUP(D63,Сountries!V:Z,2,0)</f>
        <v>Europe</v>
      </c>
      <c r="I63" t="str">
        <f>VLOOKUP(D63,Сountries!V:Z,5,0)</f>
        <v>🇲🇩</v>
      </c>
    </row>
    <row r="64" spans="1:9" ht="18" x14ac:dyDescent="0.2">
      <c r="A64">
        <v>63</v>
      </c>
      <c r="B64" t="s">
        <v>625</v>
      </c>
      <c r="C64" s="39" t="s">
        <v>564</v>
      </c>
      <c r="D64" s="23" t="s">
        <v>68</v>
      </c>
      <c r="E64" s="39">
        <v>1.978</v>
      </c>
      <c r="H64" t="str">
        <f>VLOOKUP(D64,Сountries!V:Z,2,0)</f>
        <v>America</v>
      </c>
      <c r="I64" t="str">
        <f>VLOOKUP(D64,Сountries!V:Z,5,0)</f>
        <v>🇨🇱</v>
      </c>
    </row>
    <row r="65" spans="1:9" ht="18" x14ac:dyDescent="0.2">
      <c r="A65">
        <v>64</v>
      </c>
      <c r="B65" t="s">
        <v>627</v>
      </c>
      <c r="C65" s="39" t="s">
        <v>515</v>
      </c>
      <c r="D65" s="23" t="s">
        <v>24</v>
      </c>
      <c r="E65" s="39">
        <v>1.9870000000000001</v>
      </c>
      <c r="H65" t="str">
        <f>VLOOKUP(D65,Сountries!V:Z,2,0)</f>
        <v>Africa</v>
      </c>
      <c r="I65" t="str">
        <f>VLOOKUP(D65,Сountries!V:Z,5,0)</f>
        <v>🇹🇿</v>
      </c>
    </row>
    <row r="66" spans="1:9" ht="18" x14ac:dyDescent="0.2">
      <c r="A66">
        <v>65</v>
      </c>
      <c r="B66" t="s">
        <v>627</v>
      </c>
      <c r="C66" s="39" t="s">
        <v>600</v>
      </c>
      <c r="D66" s="23" t="s">
        <v>104</v>
      </c>
      <c r="E66" s="39">
        <v>1.9930000000000001</v>
      </c>
      <c r="H66" t="str">
        <f>VLOOKUP(D66,Сountries!V:Z,2,0)</f>
        <v>Africa</v>
      </c>
      <c r="I66" t="str">
        <f>VLOOKUP(D66,Сountries!V:Z,5,0)</f>
        <v>🇸🇱</v>
      </c>
    </row>
    <row r="67" spans="1:9" ht="18" x14ac:dyDescent="0.2">
      <c r="A67">
        <v>66</v>
      </c>
      <c r="B67" t="s">
        <v>624</v>
      </c>
      <c r="C67" s="39" t="s">
        <v>582</v>
      </c>
      <c r="D67" s="23" t="s">
        <v>86</v>
      </c>
      <c r="E67" s="39">
        <v>1.998</v>
      </c>
      <c r="H67" t="str">
        <f>VLOOKUP(D67,Сountries!V:Z,2,0)</f>
        <v>Asia</v>
      </c>
      <c r="I67" t="str">
        <f>VLOOKUP(D67,Сountries!V:Z,5,0)</f>
        <v>🇯🇴</v>
      </c>
    </row>
    <row r="68" spans="1:9" ht="18" x14ac:dyDescent="0.2">
      <c r="A68">
        <v>67</v>
      </c>
      <c r="B68" t="s">
        <v>625</v>
      </c>
      <c r="C68" s="39" t="s">
        <v>577</v>
      </c>
      <c r="D68" s="23" t="s">
        <v>81</v>
      </c>
      <c r="E68" s="39">
        <v>2.0089999999999999</v>
      </c>
      <c r="H68" t="str">
        <f>VLOOKUP(D68,Сountries!V:Z,2,0)</f>
        <v>America</v>
      </c>
      <c r="I68" t="str">
        <f>VLOOKUP(D68,Сountries!V:Z,5,0)</f>
        <v>🇧🇴</v>
      </c>
    </row>
    <row r="69" spans="1:9" ht="18" x14ac:dyDescent="0.2">
      <c r="A69">
        <v>68</v>
      </c>
      <c r="B69" t="s">
        <v>627</v>
      </c>
      <c r="C69" s="39" t="s">
        <v>1243</v>
      </c>
      <c r="D69" s="23" t="s">
        <v>118</v>
      </c>
      <c r="E69" s="39">
        <v>2.0249999999999999</v>
      </c>
      <c r="H69" t="str">
        <f>VLOOKUP(D69,Сountries!V:Z,2,0)</f>
        <v>Africa</v>
      </c>
      <c r="I69" t="str">
        <f>VLOOKUP(D69,Сountries!V:Z,5,0)</f>
        <v>🇱🇷</v>
      </c>
    </row>
    <row r="70" spans="1:9" ht="18" x14ac:dyDescent="0.2">
      <c r="A70">
        <v>69</v>
      </c>
      <c r="B70" t="s">
        <v>624</v>
      </c>
      <c r="C70" s="39" t="s">
        <v>571</v>
      </c>
      <c r="D70" s="23" t="s">
        <v>75</v>
      </c>
      <c r="E70" s="39">
        <v>2.028</v>
      </c>
      <c r="H70" t="str">
        <f>VLOOKUP(D70,Сountries!V:Z,2,0)</f>
        <v>Asia</v>
      </c>
      <c r="I70" t="str">
        <f>VLOOKUP(D70,Сountries!V:Z,5,0)</f>
        <v>🇰🇭</v>
      </c>
    </row>
    <row r="71" spans="1:9" ht="18" x14ac:dyDescent="0.2">
      <c r="A71">
        <v>70</v>
      </c>
      <c r="B71" t="s">
        <v>624</v>
      </c>
      <c r="C71" s="39" t="s">
        <v>587</v>
      </c>
      <c r="D71" s="23" t="s">
        <v>91</v>
      </c>
      <c r="E71" s="39">
        <v>2.0350000000000001</v>
      </c>
      <c r="H71" t="str">
        <f>VLOOKUP(D71,Сountries!V:Z,2,0)</f>
        <v>Asia</v>
      </c>
      <c r="I71" t="str">
        <f>VLOOKUP(D71,Сountries!V:Z,5,0)</f>
        <v>🇹🇯</v>
      </c>
    </row>
    <row r="72" spans="1:9" ht="18" x14ac:dyDescent="0.2">
      <c r="A72">
        <v>71</v>
      </c>
      <c r="B72" t="s">
        <v>627</v>
      </c>
      <c r="C72" s="39" t="s">
        <v>535</v>
      </c>
      <c r="D72" s="23" t="s">
        <v>42</v>
      </c>
      <c r="E72" s="39">
        <v>2.0430000000000001</v>
      </c>
      <c r="H72" t="str">
        <f>VLOOKUP(D72,Сountries!V:Z,2,0)</f>
        <v>Africa</v>
      </c>
      <c r="I72" t="str">
        <f>VLOOKUP(D72,Сountries!V:Z,5,0)</f>
        <v>🇦🇴</v>
      </c>
    </row>
    <row r="73" spans="1:9" ht="18" x14ac:dyDescent="0.2">
      <c r="A73">
        <v>72</v>
      </c>
      <c r="B73" t="s">
        <v>627</v>
      </c>
      <c r="C73" s="39" t="s">
        <v>578</v>
      </c>
      <c r="D73" s="23" t="s">
        <v>82</v>
      </c>
      <c r="E73" s="39">
        <v>2.044</v>
      </c>
      <c r="H73" t="str">
        <f>VLOOKUP(D73,Сountries!V:Z,2,0)</f>
        <v>Africa</v>
      </c>
      <c r="I73" t="str">
        <f>VLOOKUP(D73,Сountries!V:Z,5,0)</f>
        <v>🇹🇳</v>
      </c>
    </row>
    <row r="74" spans="1:9" ht="18" x14ac:dyDescent="0.2">
      <c r="A74">
        <v>73</v>
      </c>
      <c r="B74" t="s">
        <v>625</v>
      </c>
      <c r="C74" s="39" t="s">
        <v>1234</v>
      </c>
      <c r="D74" s="23" t="s">
        <v>109</v>
      </c>
      <c r="E74" s="39">
        <v>2.044</v>
      </c>
      <c r="H74" t="str">
        <f>VLOOKUP(D74,Сountries!V:Z,2,0)</f>
        <v>America</v>
      </c>
      <c r="I74" t="str">
        <f>VLOOKUP(D74,Сountries!V:Z,5,0)</f>
        <v>🇵🇾</v>
      </c>
    </row>
    <row r="75" spans="1:9" ht="18" x14ac:dyDescent="0.2">
      <c r="A75">
        <v>74</v>
      </c>
      <c r="B75" t="s">
        <v>624</v>
      </c>
      <c r="C75" s="39" t="s">
        <v>514</v>
      </c>
      <c r="D75" s="23" t="s">
        <v>23</v>
      </c>
      <c r="E75" s="39">
        <v>2.048</v>
      </c>
      <c r="H75" t="str">
        <f>VLOOKUP(D75,Сountries!V:Z,2,0)</f>
        <v>Asia</v>
      </c>
      <c r="I75" t="str">
        <f>VLOOKUP(D75,Сountries!V:Z,5,0)</f>
        <v>🇹🇭</v>
      </c>
    </row>
    <row r="76" spans="1:9" ht="18" x14ac:dyDescent="0.2">
      <c r="A76">
        <v>75</v>
      </c>
      <c r="B76" t="s">
        <v>624</v>
      </c>
      <c r="C76" s="39" t="s">
        <v>1262</v>
      </c>
      <c r="D76" s="23" t="s">
        <v>140</v>
      </c>
      <c r="E76" s="39">
        <v>2.052</v>
      </c>
      <c r="H76" t="str">
        <f>VLOOKUP(D76,Сountries!V:Z,2,0)</f>
        <v>Asia</v>
      </c>
      <c r="I76" t="str">
        <f>VLOOKUP(D76,Сountries!V:Z,5,0)</f>
        <v>🇦🇲</v>
      </c>
    </row>
    <row r="77" spans="1:9" ht="18" x14ac:dyDescent="0.2">
      <c r="A77">
        <v>76</v>
      </c>
      <c r="B77" t="s">
        <v>624</v>
      </c>
      <c r="C77" s="39" t="s">
        <v>1233</v>
      </c>
      <c r="D77" s="23" t="s">
        <v>108</v>
      </c>
      <c r="E77" s="39">
        <v>2.0529999999999999</v>
      </c>
      <c r="H77" t="str">
        <f>VLOOKUP(D77,Сountries!V:Z,2,0)</f>
        <v>Asia</v>
      </c>
      <c r="I77" t="str">
        <f>VLOOKUP(D77,Сountries!V:Z,5,0)</f>
        <v>🇰🇬</v>
      </c>
    </row>
    <row r="78" spans="1:9" ht="18" x14ac:dyDescent="0.2">
      <c r="A78">
        <v>77</v>
      </c>
      <c r="B78" t="s">
        <v>627</v>
      </c>
      <c r="C78" s="39" t="s">
        <v>537</v>
      </c>
      <c r="D78" s="23" t="s">
        <v>44</v>
      </c>
      <c r="E78" s="39">
        <v>2.0539999999999998</v>
      </c>
      <c r="H78" t="str">
        <f>VLOOKUP(D78,Сountries!V:Z,2,0)</f>
        <v>Africa</v>
      </c>
      <c r="I78" t="str">
        <f>VLOOKUP(D78,Сountries!V:Z,5,0)</f>
        <v>🇲🇦</v>
      </c>
    </row>
    <row r="79" spans="1:9" ht="18" x14ac:dyDescent="0.2">
      <c r="A79">
        <v>78</v>
      </c>
      <c r="B79" t="s">
        <v>627</v>
      </c>
      <c r="C79" s="39" t="s">
        <v>541</v>
      </c>
      <c r="D79" s="23" t="s">
        <v>64</v>
      </c>
      <c r="E79" s="39">
        <v>2.0630000000000002</v>
      </c>
      <c r="H79" t="str">
        <f>VLOOKUP(D79,Сountries!V:Z,2,0)</f>
        <v>Africa</v>
      </c>
      <c r="I79" t="str">
        <f>VLOOKUP(D79,Сountries!V:Z,5,0)</f>
        <v>🇲🇼</v>
      </c>
    </row>
    <row r="80" spans="1:9" ht="18" x14ac:dyDescent="0.2">
      <c r="A80">
        <v>79</v>
      </c>
      <c r="B80" t="s">
        <v>624</v>
      </c>
      <c r="C80" s="39" t="s">
        <v>554</v>
      </c>
      <c r="D80" s="23" t="s">
        <v>55</v>
      </c>
      <c r="E80" s="39">
        <v>2.069</v>
      </c>
      <c r="H80" t="str">
        <f>VLOOKUP(D80,Сountries!V:Z,2,0)</f>
        <v>Asia</v>
      </c>
      <c r="I80" t="str">
        <f>VLOOKUP(D80,Сountries!V:Z,5,0)</f>
        <v>🇳🇵</v>
      </c>
    </row>
    <row r="81" spans="1:9" ht="18" x14ac:dyDescent="0.2">
      <c r="A81">
        <v>80</v>
      </c>
      <c r="B81" t="s">
        <v>624</v>
      </c>
      <c r="C81" s="39" t="s">
        <v>1275</v>
      </c>
      <c r="D81" s="23" t="s">
        <v>153</v>
      </c>
      <c r="E81" s="39">
        <v>2.0720000000000001</v>
      </c>
      <c r="H81" t="str">
        <f>VLOOKUP(D81,Сountries!V:Z,2,0)</f>
        <v>Asia</v>
      </c>
      <c r="I81" t="str">
        <f>VLOOKUP(D81,Сountries!V:Z,5,0)</f>
        <v>🇧🇭</v>
      </c>
    </row>
    <row r="82" spans="1:9" ht="18" x14ac:dyDescent="0.2">
      <c r="A82">
        <v>81</v>
      </c>
      <c r="B82" t="s">
        <v>624</v>
      </c>
      <c r="C82" s="39" t="s">
        <v>1231</v>
      </c>
      <c r="D82" s="23" t="s">
        <v>106</v>
      </c>
      <c r="E82" s="39">
        <v>2.0790000000000002</v>
      </c>
      <c r="H82" t="str">
        <f>VLOOKUP(D82,Сountries!V:Z,2,0)</f>
        <v>Asia</v>
      </c>
      <c r="I82" t="str">
        <f>VLOOKUP(D82,Сountries!V:Z,5,0)</f>
        <v>🇹🇲</v>
      </c>
    </row>
    <row r="83" spans="1:9" ht="18" x14ac:dyDescent="0.2">
      <c r="A83">
        <v>82</v>
      </c>
      <c r="B83" t="s">
        <v>627</v>
      </c>
      <c r="C83" s="39" t="s">
        <v>1265</v>
      </c>
      <c r="D83" s="23" t="s">
        <v>143</v>
      </c>
      <c r="E83" s="39">
        <v>2.0790000000000002</v>
      </c>
      <c r="H83" t="str">
        <f>VLOOKUP(D83,Сountries!V:Z,2,0)</f>
        <v>Africa</v>
      </c>
      <c r="I83" t="str">
        <f>VLOOKUP(D83,Сountries!V:Z,5,0)</f>
        <v>🇬🇲</v>
      </c>
    </row>
    <row r="84" spans="1:9" ht="18" x14ac:dyDescent="0.2">
      <c r="A84">
        <v>83</v>
      </c>
      <c r="B84" t="s">
        <v>627</v>
      </c>
      <c r="C84" s="39" t="s">
        <v>566</v>
      </c>
      <c r="D84" s="23" t="s">
        <v>70</v>
      </c>
      <c r="E84" s="39">
        <v>2.0840000000000001</v>
      </c>
      <c r="H84" t="str">
        <f>VLOOKUP(D84,Сountries!V:Z,2,0)</f>
        <v>Africa</v>
      </c>
      <c r="I84" t="str">
        <f>VLOOKUP(D84,Сountries!V:Z,5,0)</f>
        <v>🇸🇳</v>
      </c>
    </row>
    <row r="85" spans="1:9" ht="18" x14ac:dyDescent="0.2">
      <c r="A85">
        <v>84</v>
      </c>
      <c r="B85" t="s">
        <v>627</v>
      </c>
      <c r="C85" s="39" t="s">
        <v>1270</v>
      </c>
      <c r="D85" s="23" t="s">
        <v>148</v>
      </c>
      <c r="E85" s="39">
        <v>2.085</v>
      </c>
      <c r="H85" t="str">
        <f>VLOOKUP(D85,Сountries!V:Z,2,0)</f>
        <v>Africa</v>
      </c>
      <c r="I85" t="str">
        <f>VLOOKUP(D85,Сountries!V:Z,5,0)</f>
        <v>🇬🇳</v>
      </c>
    </row>
    <row r="86" spans="1:9" ht="18" x14ac:dyDescent="0.2">
      <c r="A86">
        <v>85</v>
      </c>
      <c r="B86" t="s">
        <v>626</v>
      </c>
      <c r="C86" s="39" t="s">
        <v>519</v>
      </c>
      <c r="D86" s="23" t="s">
        <v>26</v>
      </c>
      <c r="E86" s="39">
        <v>2.0880000000000001</v>
      </c>
      <c r="H86" t="str">
        <f>VLOOKUP(D86,Сountries!V:Z,2,0)</f>
        <v>Europe</v>
      </c>
      <c r="I86" t="str">
        <f>VLOOKUP(D86,Сountries!V:Z,5,0)</f>
        <v>🇫🇷</v>
      </c>
    </row>
    <row r="87" spans="1:9" ht="18" x14ac:dyDescent="0.2">
      <c r="A87">
        <v>86</v>
      </c>
      <c r="B87" t="s">
        <v>628</v>
      </c>
      <c r="C87" s="39" t="s">
        <v>1276</v>
      </c>
      <c r="D87" s="23" t="s">
        <v>154</v>
      </c>
      <c r="E87" s="39">
        <v>2.0920000000000001</v>
      </c>
      <c r="H87" t="str">
        <f>VLOOKUP(D87,Сountries!V:Z,2,0)</f>
        <v>Oceania</v>
      </c>
      <c r="I87" t="str">
        <f>VLOOKUP(D87,Сountries!V:Z,5,0)</f>
        <v>🇹🇹</v>
      </c>
    </row>
    <row r="88" spans="1:9" ht="18" x14ac:dyDescent="0.2">
      <c r="A88">
        <v>87</v>
      </c>
      <c r="B88" t="s">
        <v>624</v>
      </c>
      <c r="C88" s="39" t="s">
        <v>496</v>
      </c>
      <c r="D88" s="23" t="s">
        <v>5</v>
      </c>
      <c r="E88" s="39">
        <v>2.101</v>
      </c>
      <c r="H88" t="str">
        <f>VLOOKUP(D88,Сountries!V:Z,2,0)</f>
        <v>Asia</v>
      </c>
      <c r="I88" t="str">
        <f>VLOOKUP(D88,Сountries!V:Z,5,0)</f>
        <v>🇨🇳</v>
      </c>
    </row>
    <row r="89" spans="1:9" ht="18" x14ac:dyDescent="0.2">
      <c r="A89">
        <v>88</v>
      </c>
      <c r="B89" t="s">
        <v>624</v>
      </c>
      <c r="C89" s="39" t="s">
        <v>1278</v>
      </c>
      <c r="D89" s="23" t="s">
        <v>156</v>
      </c>
      <c r="E89" s="39">
        <v>2.101</v>
      </c>
      <c r="H89" t="str">
        <f>VLOOKUP(D89,Сountries!V:Z,2,0)</f>
        <v>Asia</v>
      </c>
      <c r="I89" t="str">
        <f>VLOOKUP(D89,Сountries!V:Z,5,0)</f>
        <v>🇨🇾</v>
      </c>
    </row>
    <row r="90" spans="1:9" ht="18" x14ac:dyDescent="0.2">
      <c r="A90">
        <v>89</v>
      </c>
      <c r="B90" t="s">
        <v>627</v>
      </c>
      <c r="C90" s="39" t="s">
        <v>529</v>
      </c>
      <c r="D90" s="23" t="s">
        <v>36</v>
      </c>
      <c r="E90" s="39">
        <v>2.11</v>
      </c>
      <c r="H90" t="str">
        <f>VLOOKUP(D90,Сountries!V:Z,2,0)</f>
        <v>Africa</v>
      </c>
      <c r="I90" t="str">
        <f>VLOOKUP(D90,Сountries!V:Z,5,0)</f>
        <v>🇩🇿</v>
      </c>
    </row>
    <row r="91" spans="1:9" ht="18" x14ac:dyDescent="0.2">
      <c r="A91">
        <v>90</v>
      </c>
      <c r="B91" t="s">
        <v>628</v>
      </c>
      <c r="C91" s="39" t="s">
        <v>1263</v>
      </c>
      <c r="D91" s="23" t="s">
        <v>141</v>
      </c>
      <c r="E91" s="39">
        <v>2.1190000000000002</v>
      </c>
      <c r="H91" t="str">
        <f>VLOOKUP(D91,Сountries!V:Z,2,0)</f>
        <v>Oceania</v>
      </c>
      <c r="I91" t="str">
        <f>VLOOKUP(D91,Сountries!V:Z,5,0)</f>
        <v>🇯🇲</v>
      </c>
    </row>
    <row r="92" spans="1:9" ht="18" x14ac:dyDescent="0.2">
      <c r="A92">
        <v>91</v>
      </c>
      <c r="B92" t="s">
        <v>627</v>
      </c>
      <c r="C92" s="39" t="s">
        <v>575</v>
      </c>
      <c r="D92" s="23" t="s">
        <v>79</v>
      </c>
      <c r="E92" s="39">
        <v>2.12</v>
      </c>
      <c r="H92" t="str">
        <f>VLOOKUP(D92,Сountries!V:Z,2,0)</f>
        <v>Africa</v>
      </c>
      <c r="I92" t="str">
        <f>VLOOKUP(D92,Сountries!V:Z,5,0)</f>
        <v>🇷🇼</v>
      </c>
    </row>
    <row r="93" spans="1:9" ht="18" x14ac:dyDescent="0.2">
      <c r="A93">
        <v>92</v>
      </c>
      <c r="B93" t="s">
        <v>624</v>
      </c>
      <c r="C93" s="39" t="s">
        <v>502</v>
      </c>
      <c r="D93" s="23" t="s">
        <v>11</v>
      </c>
      <c r="E93" s="39">
        <v>2.1259999999999999</v>
      </c>
      <c r="H93" t="str">
        <f>VLOOKUP(D93,Сountries!V:Z,2,0)</f>
        <v>Asia</v>
      </c>
      <c r="I93" t="str">
        <f>VLOOKUP(D93,Сountries!V:Z,5,0)</f>
        <v>🇧🇩</v>
      </c>
    </row>
    <row r="94" spans="1:9" ht="18" x14ac:dyDescent="0.2">
      <c r="A94">
        <v>93</v>
      </c>
      <c r="B94" t="s">
        <v>627</v>
      </c>
      <c r="C94" s="39" t="s">
        <v>1272</v>
      </c>
      <c r="D94" s="23" t="s">
        <v>150</v>
      </c>
      <c r="E94" s="39">
        <v>2.1320000000000001</v>
      </c>
      <c r="H94" t="str">
        <f>VLOOKUP(D94,Сountries!V:Z,2,0)</f>
        <v>Africa</v>
      </c>
      <c r="I94" t="str">
        <f>VLOOKUP(D94,Сountries!V:Z,5,0)</f>
        <v>🇬🇶</v>
      </c>
    </row>
    <row r="95" spans="1:9" ht="18" x14ac:dyDescent="0.2">
      <c r="A95">
        <v>94</v>
      </c>
      <c r="B95" t="s">
        <v>627</v>
      </c>
      <c r="C95" s="39" t="s">
        <v>546</v>
      </c>
      <c r="D95" s="23" t="s">
        <v>125</v>
      </c>
      <c r="E95" s="39">
        <v>2.1360000000000001</v>
      </c>
      <c r="H95" t="str">
        <f>VLOOKUP(D95,Сountries!V:Z,2,0)</f>
        <v>Africa</v>
      </c>
      <c r="I95" t="str">
        <f>VLOOKUP(D95,Сountries!V:Z,5,0)</f>
        <v>🇲🇷</v>
      </c>
    </row>
    <row r="96" spans="1:9" ht="18" x14ac:dyDescent="0.2">
      <c r="A96">
        <v>95</v>
      </c>
      <c r="B96" t="s">
        <v>625</v>
      </c>
      <c r="C96" s="39" t="s">
        <v>1253</v>
      </c>
      <c r="D96" s="23" t="s">
        <v>130</v>
      </c>
      <c r="E96" s="39">
        <v>2.14</v>
      </c>
      <c r="H96" t="str">
        <f>VLOOKUP(D96,Сountries!V:Z,2,0)</f>
        <v>America</v>
      </c>
      <c r="I96" t="str">
        <f>VLOOKUP(D96,Сountries!V:Z,5,0)</f>
        <v>🇵🇦</v>
      </c>
    </row>
    <row r="97" spans="1:9" ht="18" x14ac:dyDescent="0.2">
      <c r="A97">
        <v>96</v>
      </c>
      <c r="B97" t="s">
        <v>628</v>
      </c>
      <c r="C97" s="39" t="s">
        <v>583</v>
      </c>
      <c r="D97" s="23" t="s">
        <v>87</v>
      </c>
      <c r="E97" s="39">
        <v>2.157</v>
      </c>
      <c r="H97" t="str">
        <f>VLOOKUP(D97,Сountries!V:Z,2,0)</f>
        <v>Oceania</v>
      </c>
      <c r="I97" t="str">
        <f>VLOOKUP(D97,Сountries!V:Z,5,0)</f>
        <v>🇩🇴</v>
      </c>
    </row>
    <row r="98" spans="1:9" ht="18" x14ac:dyDescent="0.2">
      <c r="A98">
        <v>97</v>
      </c>
      <c r="B98" t="s">
        <v>628</v>
      </c>
      <c r="C98" s="39" t="s">
        <v>586</v>
      </c>
      <c r="D98" s="23" t="s">
        <v>90</v>
      </c>
      <c r="E98" s="39">
        <v>2.16</v>
      </c>
      <c r="H98" t="str">
        <f>VLOOKUP(D98,Сountries!V:Z,2,0)</f>
        <v>Oceania</v>
      </c>
      <c r="I98" t="str">
        <f>VLOOKUP(D98,Сountries!V:Z,5,0)</f>
        <v>🇨🇺</v>
      </c>
    </row>
    <row r="99" spans="1:9" ht="18" x14ac:dyDescent="0.2">
      <c r="A99">
        <v>98</v>
      </c>
      <c r="B99" t="s">
        <v>625</v>
      </c>
      <c r="C99" s="39" t="s">
        <v>550</v>
      </c>
      <c r="D99" s="23" t="s">
        <v>50</v>
      </c>
      <c r="E99" s="39">
        <v>2.1789999999999998</v>
      </c>
      <c r="H99" t="str">
        <f>VLOOKUP(D99,Сountries!V:Z,2,0)</f>
        <v>America</v>
      </c>
      <c r="I99" t="str">
        <f>VLOOKUP(D99,Сountries!V:Z,5,0)</f>
        <v>🇵🇪</v>
      </c>
    </row>
    <row r="100" spans="1:9" ht="18" x14ac:dyDescent="0.2">
      <c r="A100">
        <v>99</v>
      </c>
      <c r="B100" t="s">
        <v>624</v>
      </c>
      <c r="C100" s="39" t="s">
        <v>560</v>
      </c>
      <c r="D100" s="23" t="s">
        <v>63</v>
      </c>
      <c r="E100" s="39">
        <v>2.1949999999999998</v>
      </c>
      <c r="H100" t="str">
        <f>VLOOKUP(D100,Сountries!V:Z,2,0)</f>
        <v>Asia</v>
      </c>
      <c r="I100" t="str">
        <f>VLOOKUP(D100,Сountries!V:Z,5,0)</f>
        <v>🇱🇰</v>
      </c>
    </row>
    <row r="101" spans="1:9" ht="18" x14ac:dyDescent="0.2">
      <c r="A101">
        <v>100</v>
      </c>
      <c r="B101" t="s">
        <v>624</v>
      </c>
      <c r="C101" s="39" t="s">
        <v>1255</v>
      </c>
      <c r="D101" s="23" t="s">
        <v>132</v>
      </c>
      <c r="E101" s="39">
        <v>2.1949999999999998</v>
      </c>
      <c r="H101" t="str">
        <f>VLOOKUP(D101,Сountries!V:Z,2,0)</f>
        <v>Asia</v>
      </c>
      <c r="I101" t="str">
        <f>VLOOKUP(D101,Сountries!V:Z,5,0)</f>
        <v>🇬🇪</v>
      </c>
    </row>
    <row r="102" spans="1:9" ht="18" x14ac:dyDescent="0.2">
      <c r="A102">
        <v>101</v>
      </c>
      <c r="B102" t="s">
        <v>624</v>
      </c>
      <c r="C102" s="39" t="s">
        <v>551</v>
      </c>
      <c r="D102" s="23" t="s">
        <v>51</v>
      </c>
      <c r="E102" s="39">
        <v>2.206</v>
      </c>
      <c r="H102" t="str">
        <f>VLOOKUP(D102,Сountries!V:Z,2,0)</f>
        <v>Asia</v>
      </c>
      <c r="I102" t="str">
        <f>VLOOKUP(D102,Сountries!V:Z,5,0)</f>
        <v>🇸🇦</v>
      </c>
    </row>
    <row r="103" spans="1:9" ht="18" x14ac:dyDescent="0.2">
      <c r="A103">
        <v>102</v>
      </c>
      <c r="B103" t="s">
        <v>627</v>
      </c>
      <c r="C103" s="39" t="s">
        <v>1280</v>
      </c>
      <c r="D103" s="23" t="s">
        <v>159</v>
      </c>
      <c r="E103" s="39">
        <v>2.2090000000000001</v>
      </c>
      <c r="H103" t="str">
        <f>VLOOKUP(D103,Сountries!V:Z,2,0)</f>
        <v>Africa</v>
      </c>
      <c r="I103" t="str">
        <f>VLOOKUP(D103,Сountries!V:Z,5,0)</f>
        <v>🇸🇿</v>
      </c>
    </row>
    <row r="104" spans="1:9" ht="18" x14ac:dyDescent="0.2">
      <c r="A104">
        <v>103</v>
      </c>
      <c r="B104" t="s">
        <v>624</v>
      </c>
      <c r="C104" s="39" t="s">
        <v>508</v>
      </c>
      <c r="D104" s="23" t="s">
        <v>17</v>
      </c>
      <c r="E104" s="39">
        <v>2.21</v>
      </c>
      <c r="H104" t="str">
        <f>VLOOKUP(D104,Сountries!V:Z,2,0)</f>
        <v>Asia</v>
      </c>
      <c r="I104" t="str">
        <f>VLOOKUP(D104,Сountries!V:Z,5,0)</f>
        <v>🇵🇭</v>
      </c>
    </row>
    <row r="105" spans="1:9" ht="18" x14ac:dyDescent="0.2">
      <c r="A105">
        <v>104</v>
      </c>
      <c r="B105" t="s">
        <v>627</v>
      </c>
      <c r="C105" s="39" t="s">
        <v>507</v>
      </c>
      <c r="D105" s="23" t="s">
        <v>16</v>
      </c>
      <c r="E105" s="39">
        <v>2.2120000000000002</v>
      </c>
      <c r="H105" t="str">
        <f>VLOOKUP(D105,Сountries!V:Z,2,0)</f>
        <v>Africa</v>
      </c>
      <c r="I105" t="str">
        <f>VLOOKUP(D105,Сountries!V:Z,5,0)</f>
        <v>🇪🇬</v>
      </c>
    </row>
    <row r="106" spans="1:9" ht="18" x14ac:dyDescent="0.2">
      <c r="A106">
        <v>105</v>
      </c>
      <c r="B106" t="s">
        <v>624</v>
      </c>
      <c r="C106" s="39" t="s">
        <v>592</v>
      </c>
      <c r="D106" s="23" t="s">
        <v>96</v>
      </c>
      <c r="E106" s="39">
        <v>2.2480000000000002</v>
      </c>
      <c r="H106" t="str">
        <f>VLOOKUP(D106,Сountries!V:Z,2,0)</f>
        <v>Asia</v>
      </c>
      <c r="I106" t="str">
        <f>VLOOKUP(D106,Сountries!V:Z,5,0)</f>
        <v>🇦🇿</v>
      </c>
    </row>
    <row r="107" spans="1:9" ht="18" x14ac:dyDescent="0.2">
      <c r="A107">
        <v>106</v>
      </c>
      <c r="B107" t="s">
        <v>627</v>
      </c>
      <c r="C107" s="39" t="s">
        <v>548</v>
      </c>
      <c r="D107" s="23" t="s">
        <v>48</v>
      </c>
      <c r="E107" s="39">
        <v>2.25</v>
      </c>
      <c r="H107" t="str">
        <f>VLOOKUP(D107,Сountries!V:Z,2,0)</f>
        <v>Africa</v>
      </c>
      <c r="I107" t="str">
        <f>VLOOKUP(D107,Сountries!V:Z,5,0)</f>
        <v>🇲🇿</v>
      </c>
    </row>
    <row r="108" spans="1:9" ht="18" x14ac:dyDescent="0.2">
      <c r="A108">
        <v>107</v>
      </c>
      <c r="B108" t="s">
        <v>625</v>
      </c>
      <c r="C108" s="39" t="s">
        <v>1239</v>
      </c>
      <c r="D108" s="23" t="s">
        <v>114</v>
      </c>
      <c r="E108" s="39">
        <v>2.25</v>
      </c>
      <c r="H108" t="str">
        <f>VLOOKUP(D108,Сountries!V:Z,2,0)</f>
        <v>America</v>
      </c>
      <c r="I108" t="str">
        <f>VLOOKUP(D108,Сountries!V:Z,5,0)</f>
        <v>🇸🇻</v>
      </c>
    </row>
    <row r="109" spans="1:9" ht="18" x14ac:dyDescent="0.2">
      <c r="A109">
        <v>108</v>
      </c>
      <c r="B109" t="s">
        <v>627</v>
      </c>
      <c r="C109" s="39" t="s">
        <v>552</v>
      </c>
      <c r="D109" s="23" t="s">
        <v>53</v>
      </c>
      <c r="E109" s="39">
        <v>2.2549999999999999</v>
      </c>
      <c r="H109" t="str">
        <f>VLOOKUP(D109,Сountries!V:Z,2,0)</f>
        <v>Africa</v>
      </c>
      <c r="I109" t="str">
        <f>VLOOKUP(D109,Сountries!V:Z,5,0)</f>
        <v>🇨🇮</v>
      </c>
    </row>
    <row r="110" spans="1:9" ht="18" x14ac:dyDescent="0.2">
      <c r="A110">
        <v>109</v>
      </c>
      <c r="B110" t="s">
        <v>627</v>
      </c>
      <c r="C110" s="39" t="s">
        <v>509</v>
      </c>
      <c r="D110" s="23" t="s">
        <v>18</v>
      </c>
      <c r="E110" s="39">
        <v>2.2610000000000001</v>
      </c>
      <c r="H110" t="str">
        <f>VLOOKUP(D110,Сountries!V:Z,2,0)</f>
        <v>Africa</v>
      </c>
      <c r="I110" t="str">
        <f>VLOOKUP(D110,Сountries!V:Z,5,0)</f>
        <v>🇨🇩</v>
      </c>
    </row>
    <row r="111" spans="1:9" ht="18" x14ac:dyDescent="0.2">
      <c r="A111">
        <v>110</v>
      </c>
      <c r="B111" t="s">
        <v>625</v>
      </c>
      <c r="C111" s="39" t="s">
        <v>1285</v>
      </c>
      <c r="D111" s="23" t="s">
        <v>164</v>
      </c>
      <c r="E111" s="39">
        <v>2.286</v>
      </c>
      <c r="H111" t="str">
        <f>VLOOKUP(D111,Сountries!V:Z,2,0)</f>
        <v>America</v>
      </c>
      <c r="I111" t="str">
        <f>VLOOKUP(D111,Сountries!V:Z,5,0)</f>
        <v>🇬🇾</v>
      </c>
    </row>
    <row r="112" spans="1:9" ht="18" x14ac:dyDescent="0.2">
      <c r="A112">
        <v>111</v>
      </c>
      <c r="B112" t="s">
        <v>626</v>
      </c>
      <c r="C112" s="39" t="s">
        <v>598</v>
      </c>
      <c r="D112" s="23" t="s">
        <v>102</v>
      </c>
      <c r="E112" s="39">
        <v>2.2909999999999999</v>
      </c>
      <c r="H112" t="str">
        <f>VLOOKUP(D112,Сountries!V:Z,2,0)</f>
        <v>Europe</v>
      </c>
      <c r="I112" t="str">
        <f>VLOOKUP(D112,Сountries!V:Z,5,0)</f>
        <v>🇧🇾</v>
      </c>
    </row>
    <row r="113" spans="1:9" ht="18" x14ac:dyDescent="0.2">
      <c r="A113">
        <v>112</v>
      </c>
      <c r="B113" t="s">
        <v>625</v>
      </c>
      <c r="C113" s="39" t="s">
        <v>1235</v>
      </c>
      <c r="D113" s="23" t="s">
        <v>110</v>
      </c>
      <c r="E113" s="39">
        <v>2.2949999999999999</v>
      </c>
      <c r="H113" t="str">
        <f>VLOOKUP(D113,Сountries!V:Z,2,0)</f>
        <v>America</v>
      </c>
      <c r="I113" t="str">
        <f>VLOOKUP(D113,Сountries!V:Z,5,0)</f>
        <v>🇳🇮</v>
      </c>
    </row>
    <row r="114" spans="1:9" ht="18" x14ac:dyDescent="0.2">
      <c r="A114">
        <v>113</v>
      </c>
      <c r="B114" t="s">
        <v>627</v>
      </c>
      <c r="C114" s="39" t="s">
        <v>574</v>
      </c>
      <c r="D114" s="23" t="s">
        <v>78</v>
      </c>
      <c r="E114" s="39">
        <v>2.306</v>
      </c>
      <c r="H114" t="str">
        <f>VLOOKUP(D114,Сountries!V:Z,2,0)</f>
        <v>Africa</v>
      </c>
      <c r="I114" t="str">
        <f>VLOOKUP(D114,Сountries!V:Z,5,0)</f>
        <v>🇧🇯</v>
      </c>
    </row>
    <row r="115" spans="1:9" ht="18" x14ac:dyDescent="0.2">
      <c r="A115">
        <v>114</v>
      </c>
      <c r="B115" t="s">
        <v>628</v>
      </c>
      <c r="C115" s="39" t="s">
        <v>588</v>
      </c>
      <c r="D115" s="23" t="s">
        <v>92</v>
      </c>
      <c r="E115" s="39">
        <v>2.3149999999999999</v>
      </c>
      <c r="H115" t="str">
        <f>VLOOKUP(D115,Сountries!V:Z,2,0)</f>
        <v>Oceania</v>
      </c>
      <c r="I115" t="str">
        <f>VLOOKUP(D115,Сountries!V:Z,5,0)</f>
        <v>🇵🇬</v>
      </c>
    </row>
    <row r="116" spans="1:9" ht="18" x14ac:dyDescent="0.2">
      <c r="A116">
        <v>115</v>
      </c>
      <c r="B116" t="s">
        <v>624</v>
      </c>
      <c r="C116" s="39" t="s">
        <v>495</v>
      </c>
      <c r="D116" s="23" t="s">
        <v>4</v>
      </c>
      <c r="E116" s="39">
        <v>2.319</v>
      </c>
      <c r="H116" t="str">
        <f>VLOOKUP(D116,Сountries!V:Z,2,0)</f>
        <v>Asia</v>
      </c>
      <c r="I116" t="str">
        <f>VLOOKUP(D116,Сountries!V:Z,5,0)</f>
        <v>🇮🇳</v>
      </c>
    </row>
    <row r="117" spans="1:9" ht="18" x14ac:dyDescent="0.2">
      <c r="A117">
        <v>116</v>
      </c>
      <c r="B117" t="s">
        <v>625</v>
      </c>
      <c r="C117" s="39" t="s">
        <v>568</v>
      </c>
      <c r="D117" s="23" t="s">
        <v>72</v>
      </c>
      <c r="E117" s="39">
        <v>2.3319999999999999</v>
      </c>
      <c r="H117" t="str">
        <f>VLOOKUP(D117,Сountries!V:Z,2,0)</f>
        <v>America</v>
      </c>
      <c r="I117" t="str">
        <f>VLOOKUP(D117,Сountries!V:Z,5,0)</f>
        <v>🇬🇹</v>
      </c>
    </row>
    <row r="118" spans="1:9" ht="18" x14ac:dyDescent="0.2">
      <c r="A118">
        <v>117</v>
      </c>
      <c r="B118" t="s">
        <v>627</v>
      </c>
      <c r="C118" s="39" t="s">
        <v>1267</v>
      </c>
      <c r="D118" s="23" t="s">
        <v>145</v>
      </c>
      <c r="E118" s="39">
        <v>2.3719999999999999</v>
      </c>
      <c r="H118" t="str">
        <f>VLOOKUP(D118,Сountries!V:Z,2,0)</f>
        <v>Africa</v>
      </c>
      <c r="I118" t="str">
        <f>VLOOKUP(D118,Сountries!V:Z,5,0)</f>
        <v>🇬🇦</v>
      </c>
    </row>
    <row r="119" spans="1:9" ht="18" x14ac:dyDescent="0.2">
      <c r="A119">
        <v>118</v>
      </c>
      <c r="B119" t="s">
        <v>627</v>
      </c>
      <c r="C119" s="39" t="s">
        <v>1281</v>
      </c>
      <c r="D119" s="23" t="s">
        <v>160</v>
      </c>
      <c r="E119" s="39">
        <v>2.3740000000000001</v>
      </c>
      <c r="H119" t="str">
        <f>VLOOKUP(D119,Сountries!V:Z,2,0)</f>
        <v>Africa</v>
      </c>
      <c r="I119" t="str">
        <f>VLOOKUP(D119,Сountries!V:Z,5,0)</f>
        <v>🇩🇯</v>
      </c>
    </row>
    <row r="120" spans="1:9" ht="18" x14ac:dyDescent="0.2">
      <c r="A120">
        <v>119</v>
      </c>
      <c r="B120" t="s">
        <v>627</v>
      </c>
      <c r="C120" s="39" t="s">
        <v>594</v>
      </c>
      <c r="D120" s="23" t="s">
        <v>98</v>
      </c>
      <c r="E120" s="39">
        <v>2.3809999999999998</v>
      </c>
      <c r="H120" t="str">
        <f>VLOOKUP(D120,Сountries!V:Z,2,0)</f>
        <v>Africa</v>
      </c>
      <c r="I120" t="str">
        <f>VLOOKUP(D120,Сountries!V:Z,5,0)</f>
        <v>🇹🇬</v>
      </c>
    </row>
    <row r="121" spans="1:9" ht="18" x14ac:dyDescent="0.2">
      <c r="A121">
        <v>120</v>
      </c>
      <c r="B121" t="s">
        <v>627</v>
      </c>
      <c r="C121" s="39" t="s">
        <v>572</v>
      </c>
      <c r="D121" s="23" t="s">
        <v>76</v>
      </c>
      <c r="E121" s="39">
        <v>2.3959999999999999</v>
      </c>
      <c r="H121" t="str">
        <f>VLOOKUP(D121,Сountries!V:Z,2,0)</f>
        <v>Africa</v>
      </c>
      <c r="I121" t="str">
        <f>VLOOKUP(D121,Сountries!V:Z,5,0)</f>
        <v>🇿🇼</v>
      </c>
    </row>
    <row r="122" spans="1:9" ht="18" x14ac:dyDescent="0.2">
      <c r="A122">
        <v>121</v>
      </c>
      <c r="B122" t="s">
        <v>627</v>
      </c>
      <c r="C122" s="39" t="s">
        <v>522</v>
      </c>
      <c r="D122" s="23" t="s">
        <v>29</v>
      </c>
      <c r="E122" s="39">
        <v>2.4089999999999998</v>
      </c>
      <c r="H122" t="str">
        <f>VLOOKUP(D122,Сountries!V:Z,2,0)</f>
        <v>Africa</v>
      </c>
      <c r="I122" t="str">
        <f>VLOOKUP(D122,Сountries!V:Z,5,0)</f>
        <v>🇰🇪</v>
      </c>
    </row>
    <row r="123" spans="1:9" ht="18" x14ac:dyDescent="0.2">
      <c r="A123">
        <v>122</v>
      </c>
      <c r="B123" t="s">
        <v>625</v>
      </c>
      <c r="C123" s="39" t="s">
        <v>585</v>
      </c>
      <c r="D123" s="23" t="s">
        <v>89</v>
      </c>
      <c r="E123" s="39">
        <v>2.415</v>
      </c>
      <c r="H123" t="str">
        <f>VLOOKUP(D123,Сountries!V:Z,2,0)</f>
        <v>America</v>
      </c>
      <c r="I123" t="str">
        <f>VLOOKUP(D123,Сountries!V:Z,5,0)</f>
        <v>🇭🇳</v>
      </c>
    </row>
    <row r="124" spans="1:9" ht="18" x14ac:dyDescent="0.2">
      <c r="A124">
        <v>123</v>
      </c>
      <c r="B124" t="s">
        <v>627</v>
      </c>
      <c r="C124" s="39" t="s">
        <v>573</v>
      </c>
      <c r="D124" s="23" t="s">
        <v>77</v>
      </c>
      <c r="E124" s="39">
        <v>2.423</v>
      </c>
      <c r="H124" t="str">
        <f>VLOOKUP(D124,Сountries!V:Z,2,0)</f>
        <v>Africa</v>
      </c>
      <c r="I124" t="str">
        <f>VLOOKUP(D124,Сountries!V:Z,5,0)</f>
        <v>🇬🇫</v>
      </c>
    </row>
    <row r="125" spans="1:9" ht="18" x14ac:dyDescent="0.2">
      <c r="A125">
        <v>124</v>
      </c>
      <c r="B125" t="s">
        <v>627</v>
      </c>
      <c r="C125" s="39" t="s">
        <v>1269</v>
      </c>
      <c r="D125" s="23" t="s">
        <v>147</v>
      </c>
      <c r="E125" s="39">
        <v>2.4609999999999999</v>
      </c>
      <c r="H125" t="str">
        <f>VLOOKUP(D125,Сountries!V:Z,2,0)</f>
        <v>Africa</v>
      </c>
      <c r="I125" t="str">
        <f>VLOOKUP(D125,Сountries!V:Z,5,0)</f>
        <v>🇱🇸</v>
      </c>
    </row>
    <row r="126" spans="1:9" ht="18" x14ac:dyDescent="0.2">
      <c r="A126">
        <v>125</v>
      </c>
      <c r="B126" t="s">
        <v>627</v>
      </c>
      <c r="C126" s="39" t="s">
        <v>527</v>
      </c>
      <c r="D126" s="23" t="s">
        <v>34</v>
      </c>
      <c r="E126" s="39">
        <v>2.4769999999999999</v>
      </c>
      <c r="H126" t="str">
        <f>VLOOKUP(D126,Сountries!V:Z,2,0)</f>
        <v>Africa</v>
      </c>
      <c r="I126" t="str">
        <f>VLOOKUP(D126,Сountries!V:Z,5,0)</f>
        <v>🇺🇬</v>
      </c>
    </row>
    <row r="127" spans="1:9" ht="18" x14ac:dyDescent="0.2">
      <c r="A127">
        <v>126</v>
      </c>
      <c r="B127" t="s">
        <v>627</v>
      </c>
      <c r="C127" s="39" t="s">
        <v>520</v>
      </c>
      <c r="D127" s="23" t="s">
        <v>27</v>
      </c>
      <c r="E127" s="39">
        <v>2.5070000000000001</v>
      </c>
      <c r="H127" t="str">
        <f>VLOOKUP(D127,Сountries!V:Z,2,0)</f>
        <v>Africa</v>
      </c>
      <c r="I127" t="str">
        <f>VLOOKUP(D127,Сountries!V:Z,5,0)</f>
        <v>🇿🇦</v>
      </c>
    </row>
    <row r="128" spans="1:9" ht="18" x14ac:dyDescent="0.2">
      <c r="A128">
        <v>127</v>
      </c>
      <c r="B128" t="s">
        <v>627</v>
      </c>
      <c r="C128" s="39" t="s">
        <v>1232</v>
      </c>
      <c r="D128" s="23" t="s">
        <v>107</v>
      </c>
      <c r="E128" s="39">
        <v>2.528</v>
      </c>
      <c r="H128" t="str">
        <f>VLOOKUP(D128,Сountries!V:Z,2,0)</f>
        <v>Africa</v>
      </c>
      <c r="I128" t="str">
        <f>VLOOKUP(D128,Сountries!V:Z,5,0)</f>
        <v>🇱🇾</v>
      </c>
    </row>
    <row r="129" spans="1:9" ht="18" x14ac:dyDescent="0.2">
      <c r="A129">
        <v>128</v>
      </c>
      <c r="B129" t="s">
        <v>627</v>
      </c>
      <c r="C129" s="39" t="s">
        <v>576</v>
      </c>
      <c r="D129" s="23" t="s">
        <v>80</v>
      </c>
      <c r="E129" s="39">
        <v>2.5670000000000002</v>
      </c>
      <c r="H129" t="str">
        <f>VLOOKUP(D129,Сountries!V:Z,2,0)</f>
        <v>Africa</v>
      </c>
      <c r="I129" t="str">
        <f>VLOOKUP(D129,Сountries!V:Z,5,0)</f>
        <v>🇧🇮</v>
      </c>
    </row>
    <row r="130" spans="1:9" ht="18" x14ac:dyDescent="0.2">
      <c r="A130">
        <v>129</v>
      </c>
      <c r="B130" t="s">
        <v>625</v>
      </c>
      <c r="C130" s="39" t="s">
        <v>570</v>
      </c>
      <c r="D130" s="23" t="s">
        <v>74</v>
      </c>
      <c r="E130" s="39">
        <v>2.5720000000000001</v>
      </c>
      <c r="H130" t="str">
        <f>VLOOKUP(D130,Сountries!V:Z,2,0)</f>
        <v>America</v>
      </c>
      <c r="I130" t="str">
        <f>VLOOKUP(D130,Сountries!V:Z,5,0)</f>
        <v>🇪🇨</v>
      </c>
    </row>
    <row r="131" spans="1:9" ht="18" x14ac:dyDescent="0.2">
      <c r="A131">
        <v>130</v>
      </c>
      <c r="B131" t="s">
        <v>625</v>
      </c>
      <c r="C131" s="39" t="s">
        <v>501</v>
      </c>
      <c r="D131" s="23" t="s">
        <v>10</v>
      </c>
      <c r="E131" s="39">
        <v>2.589</v>
      </c>
      <c r="H131" t="str">
        <f>VLOOKUP(D131,Сountries!V:Z,2,0)</f>
        <v>America</v>
      </c>
      <c r="I131" t="str">
        <f>VLOOKUP(D131,Сountries!V:Z,5,0)</f>
        <v>🇧🇷</v>
      </c>
    </row>
    <row r="132" spans="1:9" ht="18" x14ac:dyDescent="0.2">
      <c r="A132">
        <v>131</v>
      </c>
      <c r="B132" t="s">
        <v>625</v>
      </c>
      <c r="C132" s="39" t="s">
        <v>497</v>
      </c>
      <c r="D132" s="23" t="s">
        <v>6</v>
      </c>
      <c r="E132" s="39">
        <v>2.6219999999999999</v>
      </c>
      <c r="H132" t="str">
        <f>VLOOKUP(D132,Сountries!V:Z,2,0)</f>
        <v>America</v>
      </c>
      <c r="I132" t="str">
        <f>VLOOKUP(D132,Сountries!V:Z,5,0)</f>
        <v>🇺🇸</v>
      </c>
    </row>
    <row r="133" spans="1:9" ht="18" x14ac:dyDescent="0.2">
      <c r="A133">
        <v>132</v>
      </c>
      <c r="B133" t="s">
        <v>624</v>
      </c>
      <c r="C133" s="39" t="s">
        <v>511</v>
      </c>
      <c r="D133" s="23" t="s">
        <v>20</v>
      </c>
      <c r="E133" s="39">
        <v>2.6819999999999999</v>
      </c>
      <c r="H133" t="str">
        <f>VLOOKUP(D133,Сountries!V:Z,2,0)</f>
        <v>Asia</v>
      </c>
      <c r="I133" t="str">
        <f>VLOOKUP(D133,Сountries!V:Z,5,0)</f>
        <v>🇮🇷</v>
      </c>
    </row>
    <row r="134" spans="1:9" ht="18" x14ac:dyDescent="0.2">
      <c r="A134">
        <v>133</v>
      </c>
      <c r="B134" t="s">
        <v>624</v>
      </c>
      <c r="C134" s="39" t="s">
        <v>1242</v>
      </c>
      <c r="D134" s="23" t="s">
        <v>117</v>
      </c>
      <c r="E134" s="39">
        <v>2.6930000000000001</v>
      </c>
      <c r="H134" t="str">
        <f>VLOOKUP(D134,Сountries!V:Z,2,0)</f>
        <v>Asia</v>
      </c>
      <c r="I134" t="str">
        <f>VLOOKUP(D134,Сountries!V:Z,5,0)</f>
        <v>🇱🇧</v>
      </c>
    </row>
    <row r="135" spans="1:9" ht="18" x14ac:dyDescent="0.2">
      <c r="A135">
        <v>134</v>
      </c>
      <c r="B135" t="s">
        <v>627</v>
      </c>
      <c r="C135" s="39" t="s">
        <v>562</v>
      </c>
      <c r="D135" s="23" t="s">
        <v>66</v>
      </c>
      <c r="E135" s="39">
        <v>2.7040000000000002</v>
      </c>
      <c r="H135" t="str">
        <f>VLOOKUP(D135,Сountries!V:Z,2,0)</f>
        <v>Africa</v>
      </c>
      <c r="I135" t="str">
        <f>VLOOKUP(D135,Сountries!V:Z,5,0)</f>
        <v>🇹🇩</v>
      </c>
    </row>
    <row r="136" spans="1:9" ht="18" x14ac:dyDescent="0.2">
      <c r="A136">
        <v>135</v>
      </c>
      <c r="B136" t="s">
        <v>627</v>
      </c>
      <c r="C136" s="39" t="s">
        <v>1256</v>
      </c>
      <c r="D136" s="23" t="s">
        <v>133</v>
      </c>
      <c r="E136" s="39">
        <v>2.7480000000000002</v>
      </c>
      <c r="H136" t="str">
        <f>VLOOKUP(D136,Сountries!V:Z,2,0)</f>
        <v>Africa</v>
      </c>
      <c r="I136" t="str">
        <f>VLOOKUP(D136,Сountries!V:Z,5,0)</f>
        <v>🇪🇷</v>
      </c>
    </row>
    <row r="137" spans="1:9" ht="18" x14ac:dyDescent="0.2">
      <c r="A137">
        <v>136</v>
      </c>
      <c r="B137" t="s">
        <v>627</v>
      </c>
      <c r="C137" s="39" t="s">
        <v>553</v>
      </c>
      <c r="D137" s="23" t="s">
        <v>54</v>
      </c>
      <c r="E137" s="39">
        <v>2.7730000000000001</v>
      </c>
      <c r="H137" t="str">
        <f>VLOOKUP(D137,Сountries!V:Z,2,0)</f>
        <v>Africa</v>
      </c>
      <c r="I137" t="str">
        <f>VLOOKUP(D137,Сountries!V:Z,5,0)</f>
        <v>🇨🇲</v>
      </c>
    </row>
    <row r="138" spans="1:9" ht="18" x14ac:dyDescent="0.2">
      <c r="A138">
        <v>137</v>
      </c>
      <c r="B138" t="s">
        <v>625</v>
      </c>
      <c r="C138" s="39" t="s">
        <v>505</v>
      </c>
      <c r="D138" s="23" t="s">
        <v>14</v>
      </c>
      <c r="E138" s="39">
        <v>2.778</v>
      </c>
      <c r="H138" t="str">
        <f>VLOOKUP(D138,Сountries!V:Z,2,0)</f>
        <v>America</v>
      </c>
      <c r="I138" t="str">
        <f>VLOOKUP(D138,Сountries!V:Z,5,0)</f>
        <v>🇲🇽</v>
      </c>
    </row>
    <row r="139" spans="1:9" ht="18" x14ac:dyDescent="0.2">
      <c r="A139">
        <v>138</v>
      </c>
      <c r="B139" t="s">
        <v>624</v>
      </c>
      <c r="C139" s="39" t="s">
        <v>512</v>
      </c>
      <c r="D139" s="23" t="s">
        <v>21</v>
      </c>
      <c r="E139" s="39">
        <v>2.78</v>
      </c>
      <c r="H139" t="str">
        <f>VLOOKUP(D139,Сountries!V:Z,2,0)</f>
        <v>Asia</v>
      </c>
      <c r="I139" t="str">
        <f>VLOOKUP(D139,Сountries!V:Z,5,0)</f>
        <v>🇹🇷</v>
      </c>
    </row>
    <row r="140" spans="1:9" ht="18" x14ac:dyDescent="0.2">
      <c r="A140">
        <v>139</v>
      </c>
      <c r="B140" t="s">
        <v>624</v>
      </c>
      <c r="C140" s="39" t="s">
        <v>499</v>
      </c>
      <c r="D140" s="23" t="s">
        <v>8</v>
      </c>
      <c r="E140" s="39">
        <v>2.7829999999999999</v>
      </c>
      <c r="H140" t="str">
        <f>VLOOKUP(D140,Сountries!V:Z,2,0)</f>
        <v>Asia</v>
      </c>
      <c r="I140" t="str">
        <f>VLOOKUP(D140,Сountries!V:Z,5,0)</f>
        <v>🇵🇰</v>
      </c>
    </row>
    <row r="141" spans="1:9" ht="18" x14ac:dyDescent="0.2">
      <c r="A141">
        <v>140</v>
      </c>
      <c r="B141" t="s">
        <v>627</v>
      </c>
      <c r="C141" s="39" t="s">
        <v>556</v>
      </c>
      <c r="D141" s="23" t="s">
        <v>57</v>
      </c>
      <c r="E141" s="39">
        <v>2.7919999999999998</v>
      </c>
      <c r="H141" t="str">
        <f>VLOOKUP(D141,Сountries!V:Z,2,0)</f>
        <v>Africa</v>
      </c>
      <c r="I141" t="str">
        <f>VLOOKUP(D141,Сountries!V:Z,5,0)</f>
        <v>🇳🇪</v>
      </c>
    </row>
    <row r="142" spans="1:9" ht="18" x14ac:dyDescent="0.2">
      <c r="A142">
        <v>141</v>
      </c>
      <c r="B142" t="s">
        <v>625</v>
      </c>
      <c r="C142" s="39" t="s">
        <v>555</v>
      </c>
      <c r="D142" s="23" t="s">
        <v>56</v>
      </c>
      <c r="E142" s="39">
        <v>2.8210000000000002</v>
      </c>
      <c r="H142" t="str">
        <f>VLOOKUP(D142,Сountries!V:Z,2,0)</f>
        <v>America</v>
      </c>
      <c r="I142" t="str">
        <f>VLOOKUP(D142,Сountries!V:Z,5,0)</f>
        <v>🇻🇪</v>
      </c>
    </row>
    <row r="143" spans="1:9" ht="18" x14ac:dyDescent="0.2">
      <c r="A143">
        <v>142</v>
      </c>
      <c r="B143" t="s">
        <v>628</v>
      </c>
      <c r="C143" s="39" t="s">
        <v>580</v>
      </c>
      <c r="D143" s="23" t="s">
        <v>84</v>
      </c>
      <c r="E143" s="39">
        <v>2.827</v>
      </c>
      <c r="H143" t="str">
        <f>VLOOKUP(D143,Сountries!V:Z,2,0)</f>
        <v>Oceania</v>
      </c>
      <c r="I143" t="str">
        <f>VLOOKUP(D143,Сountries!V:Z,5,0)</f>
        <v>🇭🇹</v>
      </c>
    </row>
    <row r="144" spans="1:9" ht="18" x14ac:dyDescent="0.2">
      <c r="A144">
        <v>143</v>
      </c>
      <c r="B144" t="s">
        <v>627</v>
      </c>
      <c r="C144" s="39" t="s">
        <v>504</v>
      </c>
      <c r="D144" s="23" t="s">
        <v>13</v>
      </c>
      <c r="E144" s="39">
        <v>2.8450000000000002</v>
      </c>
      <c r="H144" t="str">
        <f>VLOOKUP(D144,Сountries!V:Z,2,0)</f>
        <v>Africa</v>
      </c>
      <c r="I144" t="str">
        <f>VLOOKUP(D144,Сountries!V:Z,5,0)</f>
        <v>🇪🇹</v>
      </c>
    </row>
    <row r="145" spans="1:9" ht="18" x14ac:dyDescent="0.2">
      <c r="A145">
        <v>144</v>
      </c>
      <c r="B145" t="s">
        <v>624</v>
      </c>
      <c r="C145" s="39" t="s">
        <v>1217</v>
      </c>
      <c r="D145" s="23" t="s">
        <v>1321</v>
      </c>
      <c r="E145" s="39">
        <v>2.8719999999999999</v>
      </c>
      <c r="H145" t="e">
        <f>VLOOKUP(D145,Сountries!V:Z,2,0)</f>
        <v>#N/A</v>
      </c>
      <c r="I145" t="e">
        <f>VLOOKUP(D145,Сountries!V:Z,5,0)</f>
        <v>#N/A</v>
      </c>
    </row>
    <row r="146" spans="1:9" ht="18" x14ac:dyDescent="0.2">
      <c r="A146">
        <v>145</v>
      </c>
      <c r="B146" t="s">
        <v>625</v>
      </c>
      <c r="C146" s="39" t="s">
        <v>523</v>
      </c>
      <c r="D146" s="23" t="s">
        <v>31</v>
      </c>
      <c r="E146" s="39">
        <v>2.887</v>
      </c>
      <c r="H146" t="str">
        <f>VLOOKUP(D146,Сountries!V:Z,2,0)</f>
        <v>America</v>
      </c>
      <c r="I146" t="str">
        <f>VLOOKUP(D146,Сountries!V:Z,5,0)</f>
        <v>🇨🇴</v>
      </c>
    </row>
    <row r="147" spans="1:9" ht="18" x14ac:dyDescent="0.2">
      <c r="A147">
        <v>146</v>
      </c>
      <c r="B147" t="s">
        <v>627</v>
      </c>
      <c r="C147" s="39" t="s">
        <v>500</v>
      </c>
      <c r="D147" s="23" t="s">
        <v>9</v>
      </c>
      <c r="E147" s="39">
        <v>2.907</v>
      </c>
      <c r="H147" t="str">
        <f>VLOOKUP(D147,Сountries!V:Z,2,0)</f>
        <v>Africa</v>
      </c>
      <c r="I147" t="str">
        <f>VLOOKUP(D147,Сountries!V:Z,5,0)</f>
        <v>🇳🇬</v>
      </c>
    </row>
    <row r="148" spans="1:9" ht="18" x14ac:dyDescent="0.2">
      <c r="A148">
        <v>147</v>
      </c>
      <c r="B148" t="s">
        <v>624</v>
      </c>
      <c r="C148" s="39" t="s">
        <v>505</v>
      </c>
      <c r="D148" s="23" t="s">
        <v>30</v>
      </c>
      <c r="E148" s="39">
        <v>2.9430000000000001</v>
      </c>
      <c r="H148" t="str">
        <f>VLOOKUP(D148,Сountries!V:Z,2,0)</f>
        <v>Asia</v>
      </c>
      <c r="I148" t="str">
        <f>VLOOKUP(D148,Сountries!V:Z,5,0)</f>
        <v>🇲🇽</v>
      </c>
    </row>
    <row r="149" spans="1:9" ht="18" x14ac:dyDescent="0.2">
      <c r="A149">
        <v>148</v>
      </c>
      <c r="B149" t="s">
        <v>627</v>
      </c>
      <c r="C149" s="39" t="s">
        <v>559</v>
      </c>
      <c r="D149" s="23" t="s">
        <v>62</v>
      </c>
      <c r="E149" s="39">
        <v>2.9689999999999999</v>
      </c>
      <c r="H149" t="str">
        <f>VLOOKUP(D149,Сountries!V:Z,2,0)</f>
        <v>Africa</v>
      </c>
      <c r="I149" t="str">
        <f>VLOOKUP(D149,Сountries!V:Z,5,0)</f>
        <v>🇧🇫</v>
      </c>
    </row>
    <row r="150" spans="1:9" ht="18" x14ac:dyDescent="0.2">
      <c r="A150">
        <v>149</v>
      </c>
      <c r="B150" t="s">
        <v>627</v>
      </c>
      <c r="C150" s="39" t="s">
        <v>1246</v>
      </c>
      <c r="D150" s="23" t="s">
        <v>122</v>
      </c>
      <c r="E150" s="39">
        <v>3.0089999999999999</v>
      </c>
      <c r="H150" t="str">
        <f>VLOOKUP(D150,Сountries!V:Z,2,0)</f>
        <v>Africa</v>
      </c>
      <c r="I150" t="str">
        <f>VLOOKUP(D150,Сountries!V:Z,5,0)</f>
        <v>🇨🇫</v>
      </c>
    </row>
    <row r="151" spans="1:9" ht="18" x14ac:dyDescent="0.2">
      <c r="A151">
        <v>150</v>
      </c>
      <c r="B151" t="s">
        <v>624</v>
      </c>
      <c r="C151" s="39" t="s">
        <v>530</v>
      </c>
      <c r="D151" s="23" t="s">
        <v>37</v>
      </c>
      <c r="E151" s="39">
        <v>3.0449999999999999</v>
      </c>
      <c r="H151" t="str">
        <f>VLOOKUP(D151,Сountries!V:Z,2,0)</f>
        <v>Asia</v>
      </c>
      <c r="I151" t="str">
        <f>VLOOKUP(D151,Сountries!V:Z,5,0)</f>
        <v>🇮🇶</v>
      </c>
    </row>
    <row r="152" spans="1:9" ht="18" x14ac:dyDescent="0.2">
      <c r="A152">
        <v>151</v>
      </c>
      <c r="B152" t="s">
        <v>624</v>
      </c>
      <c r="C152" s="39" t="s">
        <v>525</v>
      </c>
      <c r="D152" s="23" t="s">
        <v>59</v>
      </c>
      <c r="E152" s="39">
        <v>3.0550000000000002</v>
      </c>
      <c r="H152" t="str">
        <f>VLOOKUP(D152,Сountries!V:Z,2,0)</f>
        <v>Asia</v>
      </c>
      <c r="I152" t="str">
        <f>VLOOKUP(D152,Сountries!V:Z,5,0)</f>
        <v>🇰🇵</v>
      </c>
    </row>
    <row r="153" spans="1:9" ht="18" x14ac:dyDescent="0.2">
      <c r="A153">
        <v>152</v>
      </c>
      <c r="B153" t="s">
        <v>627</v>
      </c>
      <c r="C153" s="39" t="s">
        <v>565</v>
      </c>
      <c r="D153" s="23" t="s">
        <v>69</v>
      </c>
      <c r="E153" s="39">
        <v>3.0910000000000002</v>
      </c>
      <c r="H153" t="str">
        <f>VLOOKUP(D153,Сountries!V:Z,2,0)</f>
        <v>Africa</v>
      </c>
      <c r="I153" t="str">
        <f>VLOOKUP(D153,Сountries!V:Z,5,0)</f>
        <v>🇸🇴</v>
      </c>
    </row>
    <row r="154" spans="1:9" ht="18" x14ac:dyDescent="0.2">
      <c r="A154">
        <v>153</v>
      </c>
      <c r="B154" t="s">
        <v>627</v>
      </c>
      <c r="C154" s="39" t="s">
        <v>543</v>
      </c>
      <c r="D154" s="23" t="s">
        <v>61</v>
      </c>
      <c r="E154" s="39">
        <v>3.0950000000000002</v>
      </c>
      <c r="H154" t="str">
        <f>VLOOKUP(D154,Сountries!V:Z,2,0)</f>
        <v>Africa</v>
      </c>
      <c r="I154" t="str">
        <f>VLOOKUP(D154,Сountries!V:Z,5,0)</f>
        <v>🇲🇱</v>
      </c>
    </row>
    <row r="155" spans="1:9" ht="18" x14ac:dyDescent="0.2">
      <c r="A155">
        <v>154</v>
      </c>
      <c r="B155" t="s">
        <v>624</v>
      </c>
      <c r="C155" s="39" t="s">
        <v>596</v>
      </c>
      <c r="D155" s="23" t="s">
        <v>100</v>
      </c>
      <c r="E155" s="39">
        <v>3.1150000000000002</v>
      </c>
      <c r="H155" t="str">
        <f>VLOOKUP(D155,Сountries!V:Z,2,0)</f>
        <v>Asia</v>
      </c>
      <c r="I155" t="str">
        <f>VLOOKUP(D155,Сountries!V:Z,5,0)</f>
        <v>🇮🇱</v>
      </c>
    </row>
    <row r="156" spans="1:9" ht="18" x14ac:dyDescent="0.2">
      <c r="A156">
        <v>155</v>
      </c>
      <c r="B156" t="s">
        <v>624</v>
      </c>
      <c r="C156" s="39" t="s">
        <v>558</v>
      </c>
      <c r="D156" s="23" t="s">
        <v>60</v>
      </c>
      <c r="E156" s="39">
        <v>3.173</v>
      </c>
      <c r="H156" t="str">
        <f>VLOOKUP(D156,Сountries!V:Z,2,0)</f>
        <v>Asia</v>
      </c>
      <c r="I156" t="str">
        <f>VLOOKUP(D156,Сountries!V:Z,5,0)</f>
        <v>🇸🇾</v>
      </c>
    </row>
    <row r="157" spans="1:9" ht="18" x14ac:dyDescent="0.2">
      <c r="A157">
        <v>156</v>
      </c>
      <c r="B157" t="s">
        <v>626</v>
      </c>
      <c r="C157" s="39" t="s">
        <v>503</v>
      </c>
      <c r="D157" s="23" t="s">
        <v>984</v>
      </c>
      <c r="E157" s="39">
        <v>3.2490000000000001</v>
      </c>
      <c r="H157" t="str">
        <f>VLOOKUP(D157,Сountries!V:Z,2,0)</f>
        <v>Europe</v>
      </c>
      <c r="I157" t="str">
        <f>VLOOKUP(D157,Сountries!V:Z,5,0)</f>
        <v>🇷🇺</v>
      </c>
    </row>
    <row r="158" spans="1:9" ht="18" x14ac:dyDescent="0.2">
      <c r="A158">
        <v>157</v>
      </c>
      <c r="B158" t="s">
        <v>627</v>
      </c>
      <c r="C158" s="39" t="s">
        <v>509</v>
      </c>
      <c r="D158" s="23" t="s">
        <v>18</v>
      </c>
      <c r="E158" s="39">
        <v>3.2639999999999998</v>
      </c>
      <c r="H158" t="str">
        <f>VLOOKUP(D158,Сountries!V:Z,2,0)</f>
        <v>Africa</v>
      </c>
      <c r="I158" t="str">
        <f>VLOOKUP(D158,Сountries!V:Z,5,0)</f>
        <v>🇨🇩</v>
      </c>
    </row>
    <row r="159" spans="1:9" ht="18" x14ac:dyDescent="0.2">
      <c r="A159">
        <v>158</v>
      </c>
      <c r="B159" t="s">
        <v>626</v>
      </c>
      <c r="C159" s="39" t="s">
        <v>536</v>
      </c>
      <c r="D159" s="23" t="s">
        <v>43</v>
      </c>
      <c r="E159" s="39">
        <v>3.28</v>
      </c>
      <c r="H159" t="str">
        <f>VLOOKUP(D159,Сountries!V:Z,2,0)</f>
        <v>Europe</v>
      </c>
      <c r="I159" t="str">
        <f>VLOOKUP(D159,Сountries!V:Z,5,0)</f>
        <v>🇺🇦</v>
      </c>
    </row>
    <row r="160" spans="1:9" ht="18" x14ac:dyDescent="0.2">
      <c r="A160">
        <v>159</v>
      </c>
      <c r="B160" t="s">
        <v>624</v>
      </c>
      <c r="C160" s="39" t="s">
        <v>532</v>
      </c>
      <c r="D160" s="23" t="s">
        <v>39</v>
      </c>
      <c r="E160" s="39">
        <v>3.294</v>
      </c>
      <c r="H160" t="str">
        <f>VLOOKUP(D160,Сountries!V:Z,2,0)</f>
        <v>Asia</v>
      </c>
      <c r="I160" t="str">
        <f>VLOOKUP(D160,Сountries!V:Z,5,0)</f>
        <v>🇦🇫</v>
      </c>
    </row>
    <row r="161" spans="1:9" ht="18" x14ac:dyDescent="0.2">
      <c r="A161">
        <v>160</v>
      </c>
      <c r="B161" t="s">
        <v>627</v>
      </c>
      <c r="C161" s="39" t="s">
        <v>579</v>
      </c>
      <c r="D161" s="23" t="s">
        <v>83</v>
      </c>
      <c r="E161" s="39">
        <v>3.3239999999999998</v>
      </c>
      <c r="H161" t="str">
        <f>VLOOKUP(D161,Сountries!V:Z,2,0)</f>
        <v>Africa</v>
      </c>
      <c r="I161" t="str">
        <f>VLOOKUP(D161,Сountries!V:Z,5,0)</f>
        <v>🇸🇸</v>
      </c>
    </row>
    <row r="162" spans="1:9" ht="18" x14ac:dyDescent="0.2">
      <c r="A162">
        <v>161</v>
      </c>
      <c r="B162" t="s">
        <v>627</v>
      </c>
      <c r="C162" s="39" t="s">
        <v>526</v>
      </c>
      <c r="D162" s="23" t="s">
        <v>33</v>
      </c>
      <c r="E162" s="39">
        <v>3.327</v>
      </c>
      <c r="H162" t="str">
        <f>VLOOKUP(D162,Сountries!V:Z,2,0)</f>
        <v>Africa</v>
      </c>
      <c r="I162" t="str">
        <f>VLOOKUP(D162,Сountries!V:Z,5,0)</f>
        <v>🇸🇩</v>
      </c>
    </row>
    <row r="163" spans="1:9" ht="18" x14ac:dyDescent="0.2">
      <c r="A163">
        <v>162</v>
      </c>
      <c r="B163" t="s">
        <v>624</v>
      </c>
      <c r="C163" s="39" t="s">
        <v>533</v>
      </c>
      <c r="D163" s="23" t="s">
        <v>40</v>
      </c>
      <c r="E163" s="39">
        <v>3.3969999999999998</v>
      </c>
      <c r="H163" t="str">
        <f>VLOOKUP(D163,Сountries!V:Z,2,0)</f>
        <v>Asia</v>
      </c>
      <c r="I163" t="str">
        <f>VLOOKUP(D163,Сountries!V:Z,5,0)</f>
        <v>🇾🇪</v>
      </c>
    </row>
  </sheetData>
  <hyperlinks>
    <hyperlink ref="D2" r:id="rId1" display="https://worldpopulationreview.com/countries/iceland" xr:uid="{99D0FC84-D74E-DB48-AB41-EFD411239E5E}"/>
    <hyperlink ref="D3" r:id="rId2" display="https://worldpopulationreview.com/countries/austria" xr:uid="{B3CEBA63-949B-4944-A88F-9B9AC861F98E}"/>
    <hyperlink ref="D4" r:id="rId3" display="https://worldpopulationreview.com/countries/ireland" xr:uid="{DBA49658-E12C-5741-8DD4-085CDFB4D99C}"/>
    <hyperlink ref="D5" r:id="rId4" display="https://worldpopulationreview.com/countries/new-zealand" xr:uid="{32A02B14-1ED4-4F4A-9156-88696F4DED62}"/>
    <hyperlink ref="D6" r:id="rId5" display="https://worldpopulationreview.com/countries/singapore" xr:uid="{6380C539-7A14-B948-A902-34780050E33C}"/>
    <hyperlink ref="D7" r:id="rId6" display="https://worldpopulationreview.com/countries/switzerland" xr:uid="{C93D921E-C4E4-EF40-BC95-77E1A93A3C62}"/>
    <hyperlink ref="D8" r:id="rId7" display="https://worldpopulationreview.com/countries/portugal" xr:uid="{55F46857-8110-E045-A1E9-196333C04A04}"/>
    <hyperlink ref="D9" r:id="rId8" display="https://worldpopulationreview.com/countries/denmark" xr:uid="{1A3E45E1-49CA-1D42-A33E-4DA5D4A27CC6}"/>
    <hyperlink ref="D10" r:id="rId9" display="https://worldpopulationreview.com/countries/slovenia" xr:uid="{CF0C4513-3F43-C445-8866-C8B63C0D1A80}"/>
    <hyperlink ref="D11" r:id="rId10" display="https://worldpopulationreview.com/countries/malaysia" xr:uid="{F2A35F3C-DFA9-154C-88A8-A2CB6E44F3BC}"/>
    <hyperlink ref="D12" r:id="rId11" display="https://worldpopulationreview.com/countries/canada" xr:uid="{3752FFD8-8368-9A43-A3C6-3C0E12C61979}"/>
    <hyperlink ref="D13" r:id="rId12" display="https://worldpopulationreview.com/countries/czech-republic" xr:uid="{B6CADEEE-BE2E-DA45-AFDB-B9784F587A4B}"/>
    <hyperlink ref="D14" r:id="rId13" display="https://worldpopulationreview.com/countries/finland" xr:uid="{9954FAB6-E139-8F4F-890E-2C3A9B3DF37F}"/>
    <hyperlink ref="D15" r:id="rId14" display="https://worldpopulationreview.com/countries/hungary" xr:uid="{3D201594-F414-6B45-8DCA-4B3C1775EEAB}"/>
    <hyperlink ref="D16" r:id="rId15" display="https://worldpopulationreview.com/countries/croatia" xr:uid="{6AAB6336-9334-0A47-8253-D09DE4D18771}"/>
    <hyperlink ref="D17" r:id="rId16" display="https://worldpopulationreview.com/countries/belgium" xr:uid="{759528E4-A8F0-9342-A601-C3200922554D}"/>
    <hyperlink ref="D18" r:id="rId17" display="https://worldpopulationreview.com/countries/japan" xr:uid="{FB23453B-2222-824D-92EC-8969F68D628B}"/>
    <hyperlink ref="D19" r:id="rId18" display="https://worldpopulationreview.com/countries/netherlands" xr:uid="{A3186277-F127-414B-8B61-ABB02E57F6FE}"/>
    <hyperlink ref="D20" r:id="rId19" display="https://worldpopulationreview.com/countries/australia" xr:uid="{83CB67EC-CD45-9743-B14A-66189D080D47}"/>
    <hyperlink ref="D21" r:id="rId20" display="https://worldpopulationreview.com/countries/germany" xr:uid="{DA55B554-269D-5C4C-BC3B-782BECD63DC8}"/>
    <hyperlink ref="D22" r:id="rId21" display="https://worldpopulationreview.com/countries/bhutan" xr:uid="{727853F5-8DC2-EE47-80D7-08E766E4C855}"/>
    <hyperlink ref="D23" r:id="rId22" display="https://worldpopulationreview.com/countries/mauritius" xr:uid="{57D00CE1-3FF5-0649-848F-527F975AB770}"/>
    <hyperlink ref="D24" r:id="rId23" display="https://worldpopulationreview.com/countries/spain" xr:uid="{FDF30C58-F5BB-A742-8CD4-2BABD529973F}"/>
    <hyperlink ref="D25" r:id="rId24" display="https://worldpopulationreview.com/countries/estonia" xr:uid="{C888A078-CA4D-1545-A3A9-E54E5E9CCAF1}"/>
    <hyperlink ref="D26" r:id="rId25" display="https://worldpopulationreview.com/countries/kuwait" xr:uid="{82D8DE05-7395-E14A-A2A6-7EFA19BB8406}"/>
    <hyperlink ref="D27" r:id="rId26" display="https://worldpopulationreview.com/countries/bulgaria" xr:uid="{486BACE1-C6F1-2744-9CBC-CAC715693EFB}"/>
    <hyperlink ref="D28" r:id="rId27" display="https://worldpopulationreview.com/countries/slovakia" xr:uid="{AB91AFE8-866A-1E42-A876-86D64FD1813E}"/>
    <hyperlink ref="D29" r:id="rId28" display="https://worldpopulationreview.com/countries/norway" xr:uid="{F116AF5A-E172-1F47-A586-62F8BD72F622}"/>
    <hyperlink ref="D30" r:id="rId29" display="https://worldpopulationreview.com/countries/qatar" xr:uid="{EA0BCF55-8C09-464B-832F-344550CF96B0}"/>
    <hyperlink ref="D31" r:id="rId30" display="https://worldpopulationreview.com/countries/latvia" xr:uid="{10134BCF-3222-1E45-A84A-36573BE3EC38}"/>
    <hyperlink ref="D32" r:id="rId31" display="https://worldpopulationreview.com/countries/lithuania" xr:uid="{5BC0D0D2-7A4E-AC4C-B9BC-6CE95449391C}"/>
    <hyperlink ref="D33" r:id="rId32" display="https://worldpopulationreview.com/countries/poland" xr:uid="{C88D50A2-EB30-E149-A0B4-85BBA01244DC}"/>
    <hyperlink ref="D34" r:id="rId33" display="https://worldpopulationreview.com/countries/italy" xr:uid="{EFFA7EBB-3B24-BF43-8A40-BD8BDE8723FC}"/>
    <hyperlink ref="D35" r:id="rId34" display="https://worldpopulationreview.com/countries/united-kingdom" xr:uid="{9DC1D39F-9CEC-BB45-BD5E-66F9A8442797}"/>
    <hyperlink ref="D36" r:id="rId35" display="https://worldpopulationreview.com/countries/montenegro" xr:uid="{E5B008B1-DB60-4B47-B6D6-F2F850880DDC}"/>
    <hyperlink ref="D37" r:id="rId36" display="https://worldpopulationreview.com/countries/romania" xr:uid="{08B045F0-DD86-FE4C-A632-CFCD519F4DA6}"/>
    <hyperlink ref="D38" r:id="rId37" display="https://worldpopulationreview.com/countries/oman" xr:uid="{C7E47E74-FE1A-5A4B-9137-E7D2D91F9909}"/>
    <hyperlink ref="D39" r:id="rId38" display="https://worldpopulationreview.com/countries/north-macedonia" xr:uid="{0CAC3222-0A21-2047-8CFD-550C50930159}"/>
    <hyperlink ref="D40" r:id="rId39" display="https://worldpopulationreview.com/countries/sweden" xr:uid="{194D8438-335C-1144-920D-646A7697A2DB}"/>
    <hyperlink ref="D41" r:id="rId40" display="https://worldpopulationreview.com/countries/greece" xr:uid="{5D5AB005-10D3-ED4B-A2C0-2330AF5091C9}"/>
    <hyperlink ref="D42" r:id="rId41" display="https://worldpopulationreview.com/countries/vietnam" xr:uid="{9541597A-A0B4-834C-928E-7BB08CF0DA41}"/>
    <hyperlink ref="D43" r:id="rId42" display="https://worldpopulationreview.com/countries/albania" xr:uid="{4A718437-A455-6949-BA1F-9A84529A0335}"/>
    <hyperlink ref="D44" r:id="rId43" display="https://worldpopulationreview.com/countries/taiwan" xr:uid="{B57B1AF2-8624-834A-B1C8-04381C08FDEB}"/>
    <hyperlink ref="D45" r:id="rId44" display="https://worldpopulationreview.com/countries/madagascar" xr:uid="{62AECB50-5F5E-384B-958C-BF6CB5340BA7}"/>
    <hyperlink ref="D46" r:id="rId45" display="https://worldpopulationreview.com/countries/mongolia" xr:uid="{B4ACC4D8-22A3-8243-8370-A15AAE67A408}"/>
    <hyperlink ref="D47" r:id="rId46" display="https://worldpopulationreview.com/countries/south-korea" xr:uid="{40D56B80-B7C5-C348-BC64-6CA544CEAD2B}"/>
    <hyperlink ref="D48" r:id="rId47" display="https://worldpopulationreview.com/countries/argentina" xr:uid="{9C367645-1C7A-7E4F-B758-BDA6CA47695B}"/>
    <hyperlink ref="D49" r:id="rId48" display="https://worldpopulationreview.com/countries/indonesia" xr:uid="{978B5595-FB3A-DC4E-AA94-2FE56F8387D5}"/>
    <hyperlink ref="D50" r:id="rId49" display="https://worldpopulationreview.com/countries/laos" xr:uid="{2AF46A66-8BA5-A346-BC82-8767D2B406AB}"/>
    <hyperlink ref="D51" r:id="rId50" display="https://worldpopulationreview.com/countries/botswana" xr:uid="{176E103E-1E02-2E42-8097-1A54901D62A6}"/>
    <hyperlink ref="D52" r:id="rId51" display="https://worldpopulationreview.com/countries/timor-leste" xr:uid="{7F13A976-B996-C144-9747-2EEC2E900D55}"/>
    <hyperlink ref="D53" r:id="rId52" display="https://worldpopulationreview.com/countries/uruguay" xr:uid="{77817C5B-855F-9E4E-823C-43BB47BED1A2}"/>
    <hyperlink ref="D54" r:id="rId53" display="https://worldpopulationreview.com/countries/united-arab-emirates" xr:uid="{C4EBFEBB-8629-2D4C-91E3-8C060D893A1D}"/>
    <hyperlink ref="D55" r:id="rId54" display="https://worldpopulationreview.com/countries/serbia" xr:uid="{582F42C6-15D0-A24D-AEA7-6D19109586F3}"/>
    <hyperlink ref="D56" r:id="rId55" display="https://worldpopulationreview.com/countries/ghana" xr:uid="{A1A33B84-CD32-4F4B-8D2A-3BAA539F5AE9}"/>
    <hyperlink ref="D57" r:id="rId56" display="https://worldpopulationreview.com/countries/zambia" xr:uid="{DB80A9BF-8765-074E-B28B-5B412C37DA50}"/>
    <hyperlink ref="D58" r:id="rId57" display="https://worldpopulationreview.com/countries/costa-rica" xr:uid="{35D1D929-6F29-1D40-AC35-72D1376D3DEF}"/>
    <hyperlink ref="D59" r:id="rId58" display="https://worldpopulationreview.com/countries/kazakhstan" xr:uid="{C8FA994E-DDF3-F143-8FAA-85A8363EBCCA}"/>
    <hyperlink ref="D60" r:id="rId59" display="https://worldpopulationreview.com/countries/uzbekistan" xr:uid="{8C3E3912-C94B-5341-ACEA-96D740161276}"/>
    <hyperlink ref="D61" r:id="rId60" display="https://worldpopulationreview.com/countries/bosnia-and-herzegovina" xr:uid="{125CCDD5-DB7F-3548-AF19-FB3A0C7AB5E8}"/>
    <hyperlink ref="D62" r:id="rId61" display="https://worldpopulationreview.com/countries/namibia" xr:uid="{013DEF2A-D158-AE4E-90DF-7E4B20A53E6B}"/>
    <hyperlink ref="D63" r:id="rId62" display="https://worldpopulationreview.com/countries/moldova" xr:uid="{CB8A17C7-14A8-C34E-BF32-944DC5AB1DCD}"/>
    <hyperlink ref="D64" r:id="rId63" display="https://worldpopulationreview.com/countries/chile" xr:uid="{2B240BB7-7481-F044-8A4A-C5FFD548FE9C}"/>
    <hyperlink ref="D65" r:id="rId64" display="https://worldpopulationreview.com/countries/tanzania" xr:uid="{F40D5439-F9A5-074B-A317-A78FF577B038}"/>
    <hyperlink ref="D66" r:id="rId65" display="https://worldpopulationreview.com/countries/sierra-leone" xr:uid="{A02D3543-C745-474D-B14E-05427495A1D0}"/>
    <hyperlink ref="D67" r:id="rId66" display="https://worldpopulationreview.com/countries/jordan" xr:uid="{045EED0E-7C70-E148-9A1D-81E748851D1C}"/>
    <hyperlink ref="D68" r:id="rId67" display="https://worldpopulationreview.com/countries/bolivia" xr:uid="{5D84C63B-B8F9-354F-9FA1-B0E76AF51AA3}"/>
    <hyperlink ref="D69" r:id="rId68" display="https://worldpopulationreview.com/countries/liberia" xr:uid="{DBFAFCB7-8A1E-9443-A213-E304DFFB8B66}"/>
    <hyperlink ref="D70" r:id="rId69" display="https://worldpopulationreview.com/countries/cambodia" xr:uid="{A02D93A1-4F41-5648-8DF8-20D5009EF096}"/>
    <hyperlink ref="D71" r:id="rId70" display="https://worldpopulationreview.com/countries/tajikistan" xr:uid="{EE0D18FF-65A7-DE4A-A6DE-233EFF30F7C5}"/>
    <hyperlink ref="D72" r:id="rId71" display="https://worldpopulationreview.com/countries/angola" xr:uid="{E3492F3D-DD53-0C44-8D4E-41F7804DA822}"/>
    <hyperlink ref="D73" r:id="rId72" display="https://worldpopulationreview.com/countries/tunisia" xr:uid="{6734A879-74B8-6646-B3E2-B9FC1C0C11E0}"/>
    <hyperlink ref="D74" r:id="rId73" display="https://worldpopulationreview.com/countries/paraguay" xr:uid="{AFA2F627-1CB3-1E49-9998-E9701EAC28D3}"/>
    <hyperlink ref="D75" r:id="rId74" display="https://worldpopulationreview.com/countries/thailand" xr:uid="{B736B863-73CB-C544-92C7-4297804719A9}"/>
    <hyperlink ref="D76" r:id="rId75" display="https://worldpopulationreview.com/countries/armenia" xr:uid="{CDEDEAAB-EE3D-0040-A515-4349807D4E27}"/>
    <hyperlink ref="D77" r:id="rId76" display="https://worldpopulationreview.com/countries/kyrgyzstan" xr:uid="{34E9396E-BCA4-624A-A123-61671582D85E}"/>
    <hyperlink ref="D78" r:id="rId77" display="https://worldpopulationreview.com/countries/morocco" xr:uid="{334316A9-866C-1E49-B0FB-4AA9AB539418}"/>
    <hyperlink ref="D79" r:id="rId78" display="https://worldpopulationreview.com/countries/malawi" xr:uid="{57BEA052-8808-D14A-82B4-C83F83B22D17}"/>
    <hyperlink ref="D80" r:id="rId79" display="https://worldpopulationreview.com/countries/nepal" xr:uid="{3AA14B49-5A44-F140-8EE8-68B01BB73051}"/>
    <hyperlink ref="D81" r:id="rId80" display="https://worldpopulationreview.com/countries/bahrain" xr:uid="{CEB20364-1BC4-E04F-9D22-7980D69A3EB1}"/>
    <hyperlink ref="D82" r:id="rId81" display="https://worldpopulationreview.com/countries/turkmenistan" xr:uid="{4BE033DB-3DCF-C54F-895F-B182AA04761A}"/>
    <hyperlink ref="D83" r:id="rId82" display="https://worldpopulationreview.com/countries/gambia" xr:uid="{AFA6FE78-89EF-414A-9837-E18ADE24C74B}"/>
    <hyperlink ref="D84" r:id="rId83" display="https://worldpopulationreview.com/countries/senegal" xr:uid="{BE0C5D80-3118-BA44-A2C7-50848F408A97}"/>
    <hyperlink ref="D85" r:id="rId84" display="https://worldpopulationreview.com/countries/guinea-bissau" xr:uid="{2DE6A0B2-E006-FA49-B82C-7F16E35F97CC}"/>
    <hyperlink ref="D86" r:id="rId85" display="https://worldpopulationreview.com/countries/france" xr:uid="{37570D0F-E0CC-2842-89AF-7530AAE2282C}"/>
    <hyperlink ref="D87" r:id="rId86" display="https://worldpopulationreview.com/countries/trinidad-and-tobago" xr:uid="{FF3D56DB-E928-4948-89F9-C2B57C7CEA14}"/>
    <hyperlink ref="D88" r:id="rId87" display="https://worldpopulationreview.com/countries/china" xr:uid="{A705FB4A-A37D-5B48-893B-2F51229DBDFD}"/>
    <hyperlink ref="D89" r:id="rId88" display="https://worldpopulationreview.com/countries/cyprus" xr:uid="{25384CA5-5309-F94C-A2A4-92DED4F62E99}"/>
    <hyperlink ref="D90" r:id="rId89" display="https://worldpopulationreview.com/countries/algeria" xr:uid="{FC67E97A-795F-F14E-9305-21B8379C0460}"/>
    <hyperlink ref="D91" r:id="rId90" display="https://worldpopulationreview.com/countries/jamaica" xr:uid="{C36ABE89-14A0-C242-83D8-04DED6E0C776}"/>
    <hyperlink ref="D92" r:id="rId91" display="https://worldpopulationreview.com/countries/rwanda" xr:uid="{3056789B-DB8F-EC49-8A1E-59A14AA3EE39}"/>
    <hyperlink ref="D93" r:id="rId92" display="https://worldpopulationreview.com/countries/bangladesh" xr:uid="{31FDA8F3-6711-2243-BA09-13C0CC632FE0}"/>
    <hyperlink ref="D94" r:id="rId93" display="https://worldpopulationreview.com/countries/equatorial-guinea" xr:uid="{98DA1001-7EFC-864A-8B5B-7D7566B3EF31}"/>
    <hyperlink ref="D95" r:id="rId94" display="https://worldpopulationreview.com/countries/mauritania" xr:uid="{A9AB402E-369F-B24E-A528-04A1E45D7640}"/>
    <hyperlink ref="D96" r:id="rId95" display="https://worldpopulationreview.com/countries/panama" xr:uid="{F0C536A5-6FC9-4A47-B0E4-6E831D37B235}"/>
    <hyperlink ref="D97" r:id="rId96" display="https://worldpopulationreview.com/countries/dominican-republic" xr:uid="{40C0EE2B-B54B-AA4F-85BE-54BCB89FC4C3}"/>
    <hyperlink ref="D98" r:id="rId97" display="https://worldpopulationreview.com/countries/cuba" xr:uid="{E41BF117-6624-BF4D-9677-FD99E9349F84}"/>
    <hyperlink ref="D99" r:id="rId98" display="https://worldpopulationreview.com/countries/peru" xr:uid="{A5E397E6-FF01-184C-87C6-0289BA9B9EC9}"/>
    <hyperlink ref="D100" r:id="rId99" display="https://worldpopulationreview.com/countries/sri-lanka" xr:uid="{769D45DD-0158-0546-9BAE-F1EC968F7948}"/>
    <hyperlink ref="D101" r:id="rId100" display="https://worldpopulationreview.com/countries/georgia" xr:uid="{0249566B-2570-BB4C-ACE8-76016CDD2F2C}"/>
    <hyperlink ref="D102" r:id="rId101" display="https://worldpopulationreview.com/countries/saudi-arabia" xr:uid="{5215F62A-605F-D545-A476-8983C395EB68}"/>
    <hyperlink ref="D103" r:id="rId102" display="https://worldpopulationreview.com/countries/eswatini" xr:uid="{BD8533DC-5842-AF43-9D8C-270C9A953DC3}"/>
    <hyperlink ref="D104" r:id="rId103" display="https://worldpopulationreview.com/countries/philippines" xr:uid="{6E3A1FE3-D240-D74E-B326-D353D5BF8862}"/>
    <hyperlink ref="D105" r:id="rId104" display="https://worldpopulationreview.com/countries/egypt" xr:uid="{4CCEAA0E-D542-9B49-80D8-F2F07037E745}"/>
    <hyperlink ref="D106" r:id="rId105" display="https://worldpopulationreview.com/countries/azerbaijan" xr:uid="{DDAB339D-4381-5448-9D5B-3DE7A1460F9E}"/>
    <hyperlink ref="D107" r:id="rId106" display="https://worldpopulationreview.com/countries/mozambique" xr:uid="{C60D1F9F-6022-A146-BA40-6F881909C8CC}"/>
    <hyperlink ref="D108" r:id="rId107" display="https://worldpopulationreview.com/countries/el-salvador" xr:uid="{55C6B59C-D921-1846-B5C9-EA40C978C3D2}"/>
    <hyperlink ref="D109" r:id="rId108" display="https://worldpopulationreview.com/countries/ivory-coast" xr:uid="{99D4B8F4-8FEE-7648-A84D-302033A3A279}"/>
    <hyperlink ref="D110" r:id="rId109" display="https://worldpopulationreview.com/countries/republic-of-the-congo" xr:uid="{0E269DC5-FDC3-8045-AD3C-C76992E12467}"/>
    <hyperlink ref="D111" r:id="rId110" display="https://worldpopulationreview.com/countries/guyana" xr:uid="{C2F348F5-C7A4-AC43-A5EE-405D8FB1F037}"/>
    <hyperlink ref="D112" r:id="rId111" display="https://worldpopulationreview.com/countries/belarus" xr:uid="{AAF147AB-E839-834E-9A43-4103FCE1FB64}"/>
    <hyperlink ref="D113" r:id="rId112" display="https://worldpopulationreview.com/countries/nicaragua" xr:uid="{05AA8E3D-6A74-B045-9563-04C4C0A7197F}"/>
    <hyperlink ref="D114" r:id="rId113" display="https://worldpopulationreview.com/countries/benin" xr:uid="{595E95A8-6FE0-AF4F-AAF5-D518DBE6E862}"/>
    <hyperlink ref="D115" r:id="rId114" display="https://worldpopulationreview.com/countries/papua-new-guinea" xr:uid="{E1D8C4FA-BF55-5F4B-AF46-1F0106C5B57E}"/>
    <hyperlink ref="D116" r:id="rId115" display="https://worldpopulationreview.com/countries/india" xr:uid="{4B07CA5F-466A-5943-BE46-E932387A20C3}"/>
    <hyperlink ref="D117" r:id="rId116" display="https://worldpopulationreview.com/countries/guatemala" xr:uid="{A283839F-C1A4-574B-BC65-4FB4F529E8DE}"/>
    <hyperlink ref="D118" r:id="rId117" display="https://worldpopulationreview.com/countries/gabon" xr:uid="{E5D4C137-51B6-3644-A8F5-81E66BCD852E}"/>
    <hyperlink ref="D119" r:id="rId118" display="https://worldpopulationreview.com/countries/djibouti" xr:uid="{BB59831F-64DE-DC48-9A39-E3C958CEEF76}"/>
    <hyperlink ref="D120" r:id="rId119" display="https://worldpopulationreview.com/countries/togo" xr:uid="{3E8D99F5-030E-114F-A42E-B8AF31F3D163}"/>
    <hyperlink ref="D121" r:id="rId120" display="https://worldpopulationreview.com/countries/zimbabwe" xr:uid="{221F87BC-7624-474E-87D3-6049EB5E57C4}"/>
    <hyperlink ref="D122" r:id="rId121" display="https://worldpopulationreview.com/countries/kenya" xr:uid="{A4351C36-4ED6-CA4D-8A15-E60ECA76ADF4}"/>
    <hyperlink ref="D123" r:id="rId122" display="https://worldpopulationreview.com/countries/honduras" xr:uid="{ECEC43BB-7A94-394C-82DD-1BB0A699C48D}"/>
    <hyperlink ref="D124" r:id="rId123" display="https://worldpopulationreview.com/countries/guinea" xr:uid="{739BA72B-F217-9842-A757-C25419E4DC3D}"/>
    <hyperlink ref="D125" r:id="rId124" display="https://worldpopulationreview.com/countries/lesotho" xr:uid="{1F75ECB7-D2A5-424D-8411-2C4C58468630}"/>
    <hyperlink ref="D126" r:id="rId125" display="https://worldpopulationreview.com/countries/uganda" xr:uid="{80116519-5DBC-644D-85AF-BA748676CE15}"/>
    <hyperlink ref="D127" r:id="rId126" display="https://worldpopulationreview.com/countries/south-africa" xr:uid="{916FD3B0-E931-2E4A-8251-D47E4B9C06C9}"/>
    <hyperlink ref="D128" r:id="rId127" display="https://worldpopulationreview.com/countries/libya" xr:uid="{48512AD1-25AD-0B4D-A1EA-B43342793ECA}"/>
    <hyperlink ref="D129" r:id="rId128" display="https://worldpopulationreview.com/countries/burundi" xr:uid="{C6B7F9DC-EA27-1546-A62C-5D47452C65B2}"/>
    <hyperlink ref="D130" r:id="rId129" display="https://worldpopulationreview.com/countries/ecuador" xr:uid="{642D54AE-0C78-C340-B793-6506C2234A82}"/>
    <hyperlink ref="D131" r:id="rId130" display="https://worldpopulationreview.com/countries/brazil" xr:uid="{084EC997-0F25-F34D-B837-5F2255CBE670}"/>
    <hyperlink ref="D132" r:id="rId131" display="https://worldpopulationreview.com/countries/united-states" xr:uid="{D7A330E1-A713-494E-A111-D0C606468433}"/>
    <hyperlink ref="D133" r:id="rId132" display="https://worldpopulationreview.com/countries/iran" xr:uid="{62C65A06-162B-6641-968C-FDE5F2F756B2}"/>
    <hyperlink ref="D134" r:id="rId133" display="https://worldpopulationreview.com/countries/lebanon" xr:uid="{949A0152-D6EA-AF41-8B33-358D1FDF7D03}"/>
    <hyperlink ref="D135" r:id="rId134" display="https://worldpopulationreview.com/countries/chad" xr:uid="{E7205E1C-2802-C74F-B818-8A6BFC750778}"/>
    <hyperlink ref="D136" r:id="rId135" display="https://worldpopulationreview.com/countries/eritrea" xr:uid="{23910B90-23F0-1C4B-87AE-12F58A24245F}"/>
    <hyperlink ref="D137" r:id="rId136" display="https://worldpopulationreview.com/countries/cameroon" xr:uid="{1E46D368-C8A0-094C-BEAC-236D32F9158A}"/>
    <hyperlink ref="D138" r:id="rId137" display="https://worldpopulationreview.com/countries/mexico" xr:uid="{7A4C70E0-1ADD-0641-AF21-BB2B4CCBD56E}"/>
    <hyperlink ref="D139" r:id="rId138" display="https://worldpopulationreview.com/countries/turkey" xr:uid="{183BCBC6-8E4E-004B-AB15-44A651C9C813}"/>
    <hyperlink ref="D140" r:id="rId139" display="https://worldpopulationreview.com/countries/pakistan" xr:uid="{51F0F796-9327-5E46-AD0B-2924A5802B2F}"/>
    <hyperlink ref="D141" r:id="rId140" display="https://worldpopulationreview.com/countries/niger" xr:uid="{34828FEA-6991-5648-A030-0BEBF9A7A800}"/>
    <hyperlink ref="D142" r:id="rId141" display="https://worldpopulationreview.com/countries/venezuela" xr:uid="{16C7F294-4EDC-1A46-891D-3491AD223B49}"/>
    <hyperlink ref="D143" r:id="rId142" display="https://worldpopulationreview.com/countries/haiti" xr:uid="{1B129564-161F-B34C-8950-68BFF402BB3E}"/>
    <hyperlink ref="D144" r:id="rId143" display="https://worldpopulationreview.com/countries/ethiopia" xr:uid="{485DCC9A-D17E-E24D-9610-92B25EE78C36}"/>
    <hyperlink ref="D145" r:id="rId144" display="https://worldpopulationreview.com/countries/palestine" xr:uid="{81EC870A-011E-2346-BB5D-BB97BE903763}"/>
    <hyperlink ref="D146" r:id="rId145" display="https://worldpopulationreview.com/countries/colombia" xr:uid="{65F445AA-DF00-EA48-81A9-43716DD5205F}"/>
    <hyperlink ref="D147" r:id="rId146" display="https://worldpopulationreview.com/countries/nigeria" xr:uid="{EBCAB273-4866-5842-AF27-5B3A807AA3E5}"/>
    <hyperlink ref="D148" r:id="rId147" display="https://worldpopulationreview.com/countries/myanmar" xr:uid="{50D1BE9B-6BC3-2243-AA84-2D99DE0D8B13}"/>
    <hyperlink ref="D149" r:id="rId148" display="https://worldpopulationreview.com/countries/burkina-faso" xr:uid="{753AE11C-36DD-2D46-B89C-C6CE90B14CDB}"/>
    <hyperlink ref="D150" r:id="rId149" display="https://worldpopulationreview.com/countries/central-african-republic" xr:uid="{851A5F51-9352-B146-A564-0E318B14EB85}"/>
    <hyperlink ref="D151" r:id="rId150" display="https://worldpopulationreview.com/countries/iraq" xr:uid="{75924662-3805-1042-996E-74A1436E6852}"/>
    <hyperlink ref="D152" r:id="rId151" display="https://worldpopulationreview.com/countries/north-korea" xr:uid="{0E96412C-E634-EA48-9720-47E5BF573A0D}"/>
    <hyperlink ref="D153" r:id="rId152" display="https://worldpopulationreview.com/countries/somalia" xr:uid="{8E796DAB-6819-A947-A03C-6110B5EEDEC0}"/>
    <hyperlink ref="D154" r:id="rId153" display="https://worldpopulationreview.com/countries/mali" xr:uid="{3D354084-B037-9741-8A9F-B6C1CAB91687}"/>
    <hyperlink ref="D155" r:id="rId154" display="https://worldpopulationreview.com/countries/israel" xr:uid="{B947D2B2-6E7E-7B4C-8198-0EBE179E9B8A}"/>
    <hyperlink ref="D156" r:id="rId155" display="https://worldpopulationreview.com/countries/syria" xr:uid="{06686B8D-1040-DD4B-A7F8-29286D8F6A85}"/>
    <hyperlink ref="D157" r:id="rId156" display="https://worldpopulationreview.com/countries/russia" xr:uid="{406817BF-A8E9-4C46-A0D6-927CC4F02A67}"/>
    <hyperlink ref="D158" r:id="rId157" display="https://worldpopulationreview.com/countries/dr-congo" xr:uid="{94B88C88-7140-6C4E-9270-8C0AB2E5772F}"/>
    <hyperlink ref="D159" r:id="rId158" display="https://worldpopulationreview.com/countries/ukraine" xr:uid="{9A26AD6D-21FD-264F-8886-45F4A2DB663E}"/>
    <hyperlink ref="D160" r:id="rId159" display="https://worldpopulationreview.com/countries/afghanistan" xr:uid="{EC78D9CC-5103-9C41-B69A-E7C0B22BC843}"/>
    <hyperlink ref="D161" r:id="rId160" display="https://worldpopulationreview.com/countries/south-sudan" xr:uid="{D4844D62-3593-D542-B4C3-ED95DD20F211}"/>
    <hyperlink ref="D162" r:id="rId161" display="https://worldpopulationreview.com/countries/sudan" xr:uid="{83703993-B83A-0B4D-986D-ABED1909B3B8}"/>
    <hyperlink ref="D163" r:id="rId162" display="https://worldpopulationreview.com/countries/yemen" xr:uid="{CF8336FF-7329-F54E-B4A9-C78718947123}"/>
  </hyperlinks>
  <pageMargins left="0.7" right="0.7" top="0.75" bottom="0.75" header="0.3" footer="0.3"/>
  <pageSetup orientation="portrait" horizontalDpi="0" verticalDpi="0"/>
  <drawing r:id="rId16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Сountries</vt:lpstr>
      <vt:lpstr>all_countries</vt:lpstr>
      <vt:lpstr>pupulationWorld</vt:lpstr>
      <vt:lpstr>Area</vt:lpstr>
      <vt:lpstr>GDPByCountry</vt:lpstr>
      <vt:lpstr>GDPPerCapita</vt:lpstr>
      <vt:lpstr>BirthsPerDay</vt:lpstr>
      <vt:lpstr>GPI-162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</dc:creator>
  <cp:lastModifiedBy>Vasyl Krupka</cp:lastModifiedBy>
  <dcterms:created xsi:type="dcterms:W3CDTF">2024-08-24T19:19:11Z</dcterms:created>
  <dcterms:modified xsi:type="dcterms:W3CDTF">2026-06-15T12:50:03Z</dcterms:modified>
</cp:coreProperties>
</file>